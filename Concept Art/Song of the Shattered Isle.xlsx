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ame Overview" sheetId="1" r:id="rId4"/>
    <sheet state="visible" name="Islands" sheetId="2" r:id="rId5"/>
    <sheet state="visible" name="Animals" sheetId="3" r:id="rId6"/>
    <sheet state="visible" name="Peopletech" sheetId="4" r:id="rId7"/>
    <sheet state="visible" name="Faction phases" sheetId="5" r:id="rId8"/>
    <sheet state="visible" name="Faction Trait Mapping" sheetId="6" r:id="rId9"/>
    <sheet state="visible" name="Trait Arbitration" sheetId="7" r:id="rId10"/>
    <sheet state="visible" name="Notes" sheetId="8" r:id="rId11"/>
    <sheet state="visible" name="Team" sheetId="9" r:id="rId12"/>
  </sheets>
  <definedNames>
    <definedName hidden="1" localSheetId="2" name="_xlnm._FilterDatabase">Animals!$A$2:$AC$30</definedName>
  </definedNames>
  <calcPr/>
</workbook>
</file>

<file path=xl/sharedStrings.xml><?xml version="1.0" encoding="utf-8"?>
<sst xmlns="http://schemas.openxmlformats.org/spreadsheetml/2006/main" count="829" uniqueCount="531">
  <si>
    <t>Title</t>
  </si>
  <si>
    <t>Phase</t>
  </si>
  <si>
    <t>Island</t>
  </si>
  <si>
    <t>Animals</t>
  </si>
  <si>
    <t>People</t>
  </si>
  <si>
    <t>Structures</t>
  </si>
  <si>
    <t>Octopus</t>
  </si>
  <si>
    <t>Eel</t>
  </si>
  <si>
    <t>Animal Rage</t>
  </si>
  <si>
    <t>active, shattered, one broken adventure island, island parts are broken apart but also bunched together, provides for both the animals and the people</t>
  </si>
  <si>
    <t>active, start on their own islands, grass, wood, scales, song, wind</t>
  </si>
  <si>
    <t>active, very low tech, hunting animals</t>
  </si>
  <si>
    <t>dormant, made of grass and wood</t>
  </si>
  <si>
    <t>passive, prevents expedition boats, puts animals back on their home islands</t>
  </si>
  <si>
    <t>dormant, eel-ball in the deepest place</t>
  </si>
  <si>
    <t>2A</t>
  </si>
  <si>
    <t xml:space="preserve">passive, </t>
  </si>
  <si>
    <t>active, isolated on their own islands, untamable</t>
  </si>
  <si>
    <t>passive, can't use boats, or gather from the sea, or advance tech</t>
  </si>
  <si>
    <t>passive, add stone</t>
  </si>
  <si>
    <t xml:space="preserve">active, </t>
  </si>
  <si>
    <t>2P</t>
  </si>
  <si>
    <t>passive</t>
  </si>
  <si>
    <t>passive,</t>
  </si>
  <si>
    <t>2I</t>
  </si>
  <si>
    <t>Symphony of the Seas</t>
  </si>
  <si>
    <t>passive, (active on expedition islands)</t>
  </si>
  <si>
    <t>Animal Notes</t>
  </si>
  <si>
    <t>start in eggs</t>
  </si>
  <si>
    <t>start on the broken island</t>
  </si>
  <si>
    <t>trying to get to the special animal in the middle</t>
  </si>
  <si>
    <t>upgrade by eating</t>
  </si>
  <si>
    <t>really angry at being hunted, to start with, hence "Animal Rage"</t>
  </si>
  <si>
    <t>People are thatched-roof natives, but lost technology abounds</t>
  </si>
  <si>
    <t>Island Number (index only, not ordered)</t>
  </si>
  <si>
    <t>Name</t>
  </si>
  <si>
    <t>Native inhabitants</t>
  </si>
  <si>
    <t>Notes</t>
  </si>
  <si>
    <t>Ocean</t>
  </si>
  <si>
    <t>Fish, Clog Fish, Blob Fish, Blade Fish, Octopus, Furball</t>
  </si>
  <si>
    <t>Meadows</t>
  </si>
  <si>
    <t>Grass</t>
  </si>
  <si>
    <t>Peaks</t>
  </si>
  <si>
    <t>Frost, Fur</t>
  </si>
  <si>
    <t>Wetland</t>
  </si>
  <si>
    <t>Scales</t>
  </si>
  <si>
    <t>Forest</t>
  </si>
  <si>
    <t>Wood</t>
  </si>
  <si>
    <t>Volcano</t>
  </si>
  <si>
    <t>Metal, Wind Bird, Stove</t>
  </si>
  <si>
    <t>Caves</t>
  </si>
  <si>
    <t>Rock</t>
  </si>
  <si>
    <t>Karst Pillars</t>
  </si>
  <si>
    <t>Song Bird</t>
  </si>
  <si>
    <t>Central Spire</t>
  </si>
  <si>
    <t>Special Animal</t>
  </si>
  <si>
    <t>Deepest Place (ocean)</t>
  </si>
  <si>
    <t>Eel, Rory</t>
  </si>
  <si>
    <t>Waterfalls</t>
  </si>
  <si>
    <t>squirm, Squid</t>
  </si>
  <si>
    <t>Human</t>
  </si>
  <si>
    <t>Flame, Construct, Hider</t>
  </si>
  <si>
    <t>turns into the adventure ports around the perfect Island</t>
  </si>
  <si>
    <t>Gulley</t>
  </si>
  <si>
    <t>Finder, Core</t>
  </si>
  <si>
    <t>turns into adventure Islands nearby the perfect Island</t>
  </si>
  <si>
    <t>Thornbush</t>
  </si>
  <si>
    <t>Dragon, Cleanerbird</t>
  </si>
  <si>
    <t>turns into boss Islands far away from the perfect Island</t>
  </si>
  <si>
    <t>Native Wildness</t>
  </si>
  <si>
    <t>Animal</t>
  </si>
  <si>
    <t>Level</t>
  </si>
  <si>
    <t>Multiply by individual level for domestication difficulty</t>
  </si>
  <si>
    <t>Color</t>
  </si>
  <si>
    <t>Fruit</t>
  </si>
  <si>
    <t>Type</t>
  </si>
  <si>
    <t>Home Island</t>
  </si>
  <si>
    <t>Element</t>
  </si>
  <si>
    <t>(animals eat lvl - 1, creates lvl + 1 product with lvl as a ~10x byproduct. lvl + 1 and up are impassible, Shapes lvl and lvl - 1, sinks/passes through lvl - 2 on contact, excludes lvl - 3 and lower in increasing radius)</t>
  </si>
  <si>
    <t>not-tamable (has to be killed to get the fruit)</t>
  </si>
  <si>
    <t xml:space="preserve">Cleanerbird </t>
  </si>
  <si>
    <t>Blue</t>
  </si>
  <si>
    <t>acorn black dragon scale fruit</t>
  </si>
  <si>
    <t>dino</t>
  </si>
  <si>
    <t>Cleaning</t>
  </si>
  <si>
    <t>Acorn Tree</t>
  </si>
  <si>
    <t>Tree Cleaner</t>
  </si>
  <si>
    <t xml:space="preserve">Thornbush Cleaner </t>
  </si>
  <si>
    <t>Dragonscale Cleaner</t>
  </si>
  <si>
    <t>yellow</t>
  </si>
  <si>
    <t>apple-pear (irridescent)</t>
  </si>
  <si>
    <t>wood</t>
  </si>
  <si>
    <t>dirt</t>
  </si>
  <si>
    <t>bushes</t>
  </si>
  <si>
    <t>pine/bark</t>
  </si>
  <si>
    <t>oak/wood</t>
  </si>
  <si>
    <t>Like an ostritch. Builds, makes, breaks wood.</t>
  </si>
  <si>
    <t>Dragon</t>
  </si>
  <si>
    <t>Black (with glowing blue angular lines)</t>
  </si>
  <si>
    <t>Black-Dragonscale</t>
  </si>
  <si>
    <t>scales</t>
  </si>
  <si>
    <t>Small fish</t>
  </si>
  <si>
    <t>Tiny Dragon</t>
  </si>
  <si>
    <t>Small Dragon</t>
  </si>
  <si>
    <t>Big Dragon</t>
  </si>
  <si>
    <t>Fruit is bittersweet, it eats the fruit when it is little, eats fish when it is big, aquatic dragon, but can also fly</t>
  </si>
  <si>
    <t>Blade Fish</t>
  </si>
  <si>
    <t>Red</t>
  </si>
  <si>
    <t>Blue Coral Carrot</t>
  </si>
  <si>
    <t>fish</t>
  </si>
  <si>
    <t>Water</t>
  </si>
  <si>
    <t>Thornfish</t>
  </si>
  <si>
    <t>Daggerfish</t>
  </si>
  <si>
    <t>Swordfish</t>
  </si>
  <si>
    <t>Fish</t>
  </si>
  <si>
    <t>Corral-berry</t>
  </si>
  <si>
    <t>water</t>
  </si>
  <si>
    <t>algae</t>
  </si>
  <si>
    <t>Beta Fish</t>
  </si>
  <si>
    <t>Herring</t>
  </si>
  <si>
    <t>Bass</t>
  </si>
  <si>
    <t>Tuna</t>
  </si>
  <si>
    <t>Flame</t>
  </si>
  <si>
    <t>Emberfruit</t>
  </si>
  <si>
    <t>archaic living fossil</t>
  </si>
  <si>
    <t>fire</t>
  </si>
  <si>
    <t>grass-fire</t>
  </si>
  <si>
    <t>Tongue of flame</t>
  </si>
  <si>
    <t>Campfire</t>
  </si>
  <si>
    <t>Blaze</t>
  </si>
  <si>
    <t>Inferno</t>
  </si>
  <si>
    <t>Finder</t>
  </si>
  <si>
    <t>peach</t>
  </si>
  <si>
    <t>Furry-Acorn</t>
  </si>
  <si>
    <t>mammal</t>
  </si>
  <si>
    <t>Fluff</t>
  </si>
  <si>
    <t>gunneapig</t>
  </si>
  <si>
    <t>goat</t>
  </si>
  <si>
    <t>Mammoth</t>
  </si>
  <si>
    <t>Opposite of the Hider. Doesn't like water. Like Fur, but stronger. It needs fluff to get people closer to it. Can see well, but doesn't know what food is. When the islands are reunited, the finder goes to island 5 and then takes the metal to the people on island 11.</t>
  </si>
  <si>
    <t>Core</t>
  </si>
  <si>
    <t>black</t>
  </si>
  <si>
    <t>Food</t>
  </si>
  <si>
    <t>Squirrel</t>
  </si>
  <si>
    <t>Marmot</t>
  </si>
  <si>
    <t>Racoon</t>
  </si>
  <si>
    <t>Deer</t>
  </si>
  <si>
    <t>Helps find food for the Finder. Can't understand metal. Eyes are white.</t>
  </si>
  <si>
    <t>Hider</t>
  </si>
  <si>
    <t>Dirt Brown</t>
  </si>
  <si>
    <t>Gemstone Apple</t>
  </si>
  <si>
    <t>robot</t>
  </si>
  <si>
    <t>technology/mining/high-tech</t>
  </si>
  <si>
    <t>Hi-Tech Forge</t>
  </si>
  <si>
    <t>Puffball (fiber-optic hairs)</t>
  </si>
  <si>
    <t>Tadpole puffball (like a human with a tail and no arms)</t>
  </si>
  <si>
    <t>Robo-badger</t>
  </si>
  <si>
    <t>Can make the moon disappear (‽ cover with a cloud) because it stresses him out. it also buries treasure and digs tunnels and steals things and hides them.</t>
  </si>
  <si>
    <t>grey</t>
  </si>
  <si>
    <t>Gemstone-pear</t>
  </si>
  <si>
    <t>stone</t>
  </si>
  <si>
    <t>stone/lava</t>
  </si>
  <si>
    <t>coal</t>
  </si>
  <si>
    <t>flint</t>
  </si>
  <si>
    <t>granite</t>
  </si>
  <si>
    <t>diamond</t>
  </si>
  <si>
    <t>Makes everything underground (except dirt) builds from rock &amp; brick (and sometimes metal)</t>
  </si>
  <si>
    <t>Fur</t>
  </si>
  <si>
    <t>hairy-peach</t>
  </si>
  <si>
    <t>fur</t>
  </si>
  <si>
    <t>grass</t>
  </si>
  <si>
    <t>rabbit</t>
  </si>
  <si>
    <t>sheep</t>
  </si>
  <si>
    <t>yak</t>
  </si>
  <si>
    <t>Hates getting wet, can go really cold places, but not warm places, can't swim</t>
  </si>
  <si>
    <t>Frost</t>
  </si>
  <si>
    <t>White</t>
  </si>
  <si>
    <t>Icicle Carrot</t>
  </si>
  <si>
    <t>ice</t>
  </si>
  <si>
    <t>Pup</t>
  </si>
  <si>
    <t>Fox</t>
  </si>
  <si>
    <t>Wolf</t>
  </si>
  <si>
    <t>Fox-Wolf</t>
  </si>
  <si>
    <t>Natively tamed? Hunting partner.</t>
  </si>
  <si>
    <t>Clog Fish</t>
  </si>
  <si>
    <t>Orange</t>
  </si>
  <si>
    <t>Jelly-fruit</t>
  </si>
  <si>
    <t>Slime</t>
  </si>
  <si>
    <t>Medium fish</t>
  </si>
  <si>
    <t>Large fish</t>
  </si>
  <si>
    <t>Helps the blobfish move, because otherwise it can't move</t>
  </si>
  <si>
    <t>Blob Fish</t>
  </si>
  <si>
    <t>worm</t>
  </si>
  <si>
    <t>Decay slime</t>
  </si>
  <si>
    <t>Worm</t>
  </si>
  <si>
    <t>Blob</t>
  </si>
  <si>
    <t>Blobfish</t>
  </si>
  <si>
    <t>If you attack the egg, it goes CRAZY and kills stuff.</t>
  </si>
  <si>
    <t>Stove</t>
  </si>
  <si>
    <t>Red (thin grey lines)</t>
  </si>
  <si>
    <t>Lava Orange</t>
  </si>
  <si>
    <t>Lava</t>
  </si>
  <si>
    <t>Oven</t>
  </si>
  <si>
    <t xml:space="preserve">Furnace </t>
  </si>
  <si>
    <t>Metal</t>
  </si>
  <si>
    <t>bronze and iron</t>
  </si>
  <si>
    <t>metal nut</t>
  </si>
  <si>
    <t>metal</t>
  </si>
  <si>
    <t>bronze</t>
  </si>
  <si>
    <t>iron</t>
  </si>
  <si>
    <t>builds with metal (and sometimes rock) very slow, carries a lot of stuff, island has a volcano mountain in the middle.</t>
  </si>
  <si>
    <t>squirm</t>
  </si>
  <si>
    <t>puffball</t>
  </si>
  <si>
    <t>worm/tentacle</t>
  </si>
  <si>
    <t>mushroom</t>
  </si>
  <si>
    <t>Maggot</t>
  </si>
  <si>
    <t>Leech</t>
  </si>
  <si>
    <t>Lamprey</t>
  </si>
  <si>
    <t>I made this one up, to root the higher-level incarnations</t>
  </si>
  <si>
    <t>purple</t>
  </si>
  <si>
    <t>scale-dragon</t>
  </si>
  <si>
    <t>trees</t>
  </si>
  <si>
    <t>lizard</t>
  </si>
  <si>
    <t>aligator</t>
  </si>
  <si>
    <t>Komodo</t>
  </si>
  <si>
    <t>for making armor and shoes</t>
  </si>
  <si>
    <t>Sea-blueberry</t>
  </si>
  <si>
    <t>luminescent stone</t>
  </si>
  <si>
    <t>eelet egg in underwater cave (needs Rory)</t>
  </si>
  <si>
    <t>Eelie</t>
  </si>
  <si>
    <t>lives in the deepest place. The last of its kind (can not make eggs?) Doesn't know how to be friendly so the animals have to teach it. People and industry wakes it. Easily startled, bites things and makes them long (octopus arms, roads, towers, trees, grass, feathers, clothes, fur). Cousin of the octopus, which he bit, which is why the tentacles are so long. Also the squid's cousin.</t>
  </si>
  <si>
    <t>Squid</t>
  </si>
  <si>
    <t>teal</t>
  </si>
  <si>
    <t>sea-weed</t>
  </si>
  <si>
    <t>tentacle</t>
  </si>
  <si>
    <t>ink</t>
  </si>
  <si>
    <t>black ink</t>
  </si>
  <si>
    <t>swim up waterfalls</t>
  </si>
  <si>
    <t>paint</t>
  </si>
  <si>
    <t>Swims and sometimes crawls, amphibious, swims up waterfalls, loves to visit brother octopus. Loves decorations and colors, especially traditional when visitors come over.</t>
  </si>
  <si>
    <t>Wind Bird</t>
  </si>
  <si>
    <t>sky-berry</t>
  </si>
  <si>
    <t>air</t>
  </si>
  <si>
    <t>Pheasant/wind</t>
  </si>
  <si>
    <t>Eagle/cloud</t>
  </si>
  <si>
    <t>phoenix/fire</t>
  </si>
  <si>
    <t>Brother of the Song Bird, eats fish, feeds the song bird. Very noisy, loud, the fastest. Only builds nests high up and made of wood. Solid-cloud sky island? Builds lower as it increases in level.</t>
  </si>
  <si>
    <t>Construct</t>
  </si>
  <si>
    <t>Thanksgiving Turkey</t>
  </si>
  <si>
    <t>construction/buildings/factory</t>
  </si>
  <si>
    <t>Materials</t>
  </si>
  <si>
    <t>Workbench</t>
  </si>
  <si>
    <t>Forgie</t>
  </si>
  <si>
    <t>Construct (makes tall buildings with the Eel)</t>
  </si>
  <si>
    <t>Ancient Construct (can make tall buildings without the Eel)</t>
  </si>
  <si>
    <t>Humans have natively tamed this animal. Can animate buildings and make them into walking robot things.</t>
  </si>
  <si>
    <t>Yellow-Green</t>
  </si>
  <si>
    <t>Wheat-grape</t>
  </si>
  <si>
    <t>Dirt</t>
  </si>
  <si>
    <t>bamboo</t>
  </si>
  <si>
    <t>palm</t>
  </si>
  <si>
    <t>Has to stay wet, makes plants grow faster, can make dirt? Flightless.</t>
  </si>
  <si>
    <t>White Sky-Apple</t>
  </si>
  <si>
    <t>music</t>
  </si>
  <si>
    <t>Musical Bamboo</t>
  </si>
  <si>
    <t>Black</t>
  </si>
  <si>
    <t>Instruments</t>
  </si>
  <si>
    <t>Brother of the Wind Bird, musical, fruit grows on a cloud tree which grows on top of a cloud that is green on top.</t>
  </si>
  <si>
    <t>coral</t>
  </si>
  <si>
    <t>Shattered Isle</t>
  </si>
  <si>
    <t>Moves Animals</t>
  </si>
  <si>
    <t>Moves boats</t>
  </si>
  <si>
    <t>Moves islands</t>
  </si>
  <si>
    <t>moves tunnels &amp; Structures</t>
  </si>
  <si>
    <t>Ancient Octopus</t>
  </si>
  <si>
    <t>Rainbow, gold and silver</t>
  </si>
  <si>
    <t>fire/cornucopia</t>
  </si>
  <si>
    <t>trilobite</t>
  </si>
  <si>
    <t>sky-manta</t>
  </si>
  <si>
    <t>pelican</t>
  </si>
  <si>
    <t>cat-erpillar</t>
  </si>
  <si>
    <t>armadillo</t>
  </si>
  <si>
    <t>Only protects the other animals (and helps upgrade them). Can walk on land, hover, swim, and float. can't build. Friends with the eel &amp; squid &amp; octopus. Unique (only one of them)</t>
  </si>
  <si>
    <t>Furball</t>
  </si>
  <si>
    <t>Brown</t>
  </si>
  <si>
    <t>Rattlefruit</t>
  </si>
  <si>
    <t>mammal/fish</t>
  </si>
  <si>
    <t>Has fur and a coat of scales, Cross between a fish and a gunneapig, runs away from everything, very tasty</t>
  </si>
  <si>
    <t>Rory</t>
  </si>
  <si>
    <t>Green</t>
  </si>
  <si>
    <t>aether</t>
  </si>
  <si>
    <t>Rorylet</t>
  </si>
  <si>
    <t>Grand Rory</t>
  </si>
  <si>
    <t>boss fight monster?</t>
  </si>
  <si>
    <t>grass, wood, scales, song, wind</t>
  </si>
  <si>
    <t>Faction Mapping</t>
  </si>
  <si>
    <t>Power</t>
  </si>
  <si>
    <t>Stage requirements</t>
  </si>
  <si>
    <t>Accumulated requirements</t>
  </si>
  <si>
    <t>Gathering</t>
  </si>
  <si>
    <t>Native</t>
  </si>
  <si>
    <t>Gardens</t>
  </si>
  <si>
    <t>Fields</t>
  </si>
  <si>
    <t>Bamboo</t>
  </si>
  <si>
    <t>Orchards</t>
  </si>
  <si>
    <t>Huddle</t>
  </si>
  <si>
    <t>Tents</t>
  </si>
  <si>
    <t>Cushions</t>
  </si>
  <si>
    <t>Bird</t>
  </si>
  <si>
    <t>Huts</t>
  </si>
  <si>
    <t>Houses</t>
  </si>
  <si>
    <t>Wood|Bamboo</t>
  </si>
  <si>
    <t>Towers</t>
  </si>
  <si>
    <t>Hearth</t>
  </si>
  <si>
    <t>Chimney/fireplace</t>
  </si>
  <si>
    <t>Furnace</t>
  </si>
  <si>
    <t>Brick</t>
  </si>
  <si>
    <t>Leaf Garb</t>
  </si>
  <si>
    <t>Clothes</t>
  </si>
  <si>
    <t>Storm Jackets</t>
  </si>
  <si>
    <t>Shade Hats</t>
  </si>
  <si>
    <t>Feather Hats</t>
  </si>
  <si>
    <t>Shoes</t>
  </si>
  <si>
    <t>Boots</t>
  </si>
  <si>
    <t>Bronze</t>
  </si>
  <si>
    <t>Armor</t>
  </si>
  <si>
    <t>Plate Armor</t>
  </si>
  <si>
    <t>Leaf Garb (and Swim)</t>
  </si>
  <si>
    <t>Swimsuit</t>
  </si>
  <si>
    <t>Diving Suit</t>
  </si>
  <si>
    <t>Charcoal Drawings</t>
  </si>
  <si>
    <t>Writing</t>
  </si>
  <si>
    <t>Painting</t>
  </si>
  <si>
    <t>Special</t>
  </si>
  <si>
    <t>Swim</t>
  </si>
  <si>
    <t>Canoes</t>
  </si>
  <si>
    <t>Sailboats</t>
  </si>
  <si>
    <t>Airships (? doesn't seem like that kind of game)</t>
  </si>
  <si>
    <t>Hunt/Clubs</t>
  </si>
  <si>
    <t>Spear</t>
  </si>
  <si>
    <t>Arrows</t>
  </si>
  <si>
    <t>Shore</t>
  </si>
  <si>
    <t>Docks</t>
  </si>
  <si>
    <t>Piers</t>
  </si>
  <si>
    <t>Stone</t>
  </si>
  <si>
    <t>Sea Platform</t>
  </si>
  <si>
    <t>Iron</t>
  </si>
  <si>
    <t>Mines</t>
  </si>
  <si>
    <t>Tunnels</t>
  </si>
  <si>
    <t>Drilling</t>
  </si>
  <si>
    <t>Excavation</t>
  </si>
  <si>
    <t>Lakes</t>
  </si>
  <si>
    <t>Irrigation</t>
  </si>
  <si>
    <t>Fenced Pasture</t>
  </si>
  <si>
    <t>Domestication</t>
  </si>
  <si>
    <t>Travel</t>
  </si>
  <si>
    <t>Path</t>
  </si>
  <si>
    <t>Bird, Grass</t>
  </si>
  <si>
    <t>Road</t>
  </si>
  <si>
    <t>Stone, Scales</t>
  </si>
  <si>
    <t>Bridge</t>
  </si>
  <si>
    <t>Wood, fur</t>
  </si>
  <si>
    <t>Sky Causeway (road and bridge)</t>
  </si>
  <si>
    <t>Ancient Diamond, Ancient Metal</t>
  </si>
  <si>
    <t>Song</t>
  </si>
  <si>
    <t>Pipes</t>
  </si>
  <si>
    <t>Woodwinds</t>
  </si>
  <si>
    <t>Strings</t>
  </si>
  <si>
    <t>Bass Strings</t>
  </si>
  <si>
    <t>Oak</t>
  </si>
  <si>
    <t>Drums</t>
  </si>
  <si>
    <t>Bass Drums</t>
  </si>
  <si>
    <t>Ancient Palm</t>
  </si>
  <si>
    <t>Bells</t>
  </si>
  <si>
    <t>Diamond Bells</t>
  </si>
  <si>
    <t>Ancient Diamond</t>
  </si>
  <si>
    <t>Melody</t>
  </si>
  <si>
    <t>Harmony</t>
  </si>
  <si>
    <t>Dance</t>
  </si>
  <si>
    <t>Procession</t>
  </si>
  <si>
    <t>Festival (lvl 1 instruments)</t>
  </si>
  <si>
    <t>Grand Procession (lvl 2 instruments)</t>
  </si>
  <si>
    <t>&lt;---Actor
Target
         |
        V</t>
  </si>
  <si>
    <t>Active</t>
  </si>
  <si>
    <t>Lower Range</t>
  </si>
  <si>
    <t>Upper Range</t>
  </si>
  <si>
    <t>Phase 1</t>
  </si>
  <si>
    <t>s</t>
  </si>
  <si>
    <t>Phase 2</t>
  </si>
  <si>
    <t>A</t>
  </si>
  <si>
    <t>P</t>
  </si>
  <si>
    <t>I</t>
  </si>
  <si>
    <t>Phase 3</t>
  </si>
  <si>
    <t>&lt;---Faction
Trait
       |
      V</t>
  </si>
  <si>
    <t>Might</t>
  </si>
  <si>
    <t>Wisdom</t>
  </si>
  <si>
    <t>Honor</t>
  </si>
  <si>
    <t>Wealth</t>
  </si>
  <si>
    <t>Glory</t>
  </si>
  <si>
    <t>Trait</t>
  </si>
  <si>
    <t>Arbitration (a is first check, b etc are subsequent checks. Values are the vote weights. Ties iterate in depth for each trait already evaluated (and re-evaluate) and progress to the next round. Max of 4 rounds, round d is always odd to act as a tiebreaker. Need at least 4 nested levels so that the full arbitration can play out)</t>
  </si>
  <si>
    <t>Blessing</t>
  </si>
  <si>
    <t>Round totals (final must be odd, all others even)</t>
  </si>
  <si>
    <t>a</t>
  </si>
  <si>
    <t>b</t>
  </si>
  <si>
    <t>c</t>
  </si>
  <si>
    <t>d</t>
  </si>
  <si>
    <t>Round halves (combos need to add to this to result in a tie)</t>
  </si>
  <si>
    <t>past</t>
  </si>
  <si>
    <t>a1</t>
  </si>
  <si>
    <t>b2</t>
  </si>
  <si>
    <t>c3</t>
  </si>
  <si>
    <t>c1</t>
  </si>
  <si>
    <t>d1</t>
  </si>
  <si>
    <t>c4</t>
  </si>
  <si>
    <t>c2</t>
  </si>
  <si>
    <t>d3</t>
  </si>
  <si>
    <t>a2</t>
  </si>
  <si>
    <t>b4</t>
  </si>
  <si>
    <t>d5</t>
  </si>
  <si>
    <t>future</t>
  </si>
  <si>
    <t>b3</t>
  </si>
  <si>
    <t>a3</t>
  </si>
  <si>
    <t>b1</t>
  </si>
  <si>
    <t>d7</t>
  </si>
  <si>
    <t>a5</t>
  </si>
  <si>
    <t>d11</t>
  </si>
  <si>
    <t>a4</t>
  </si>
  <si>
    <t>b8</t>
  </si>
  <si>
    <t>a8</t>
  </si>
  <si>
    <t>present</t>
  </si>
  <si>
    <t>c8</t>
  </si>
  <si>
    <t>c10</t>
  </si>
  <si>
    <t>a9</t>
  </si>
  <si>
    <t>b18</t>
  </si>
  <si>
    <t>d23</t>
  </si>
  <si>
    <t>a13</t>
  </si>
  <si>
    <t>Column Totals</t>
  </si>
  <si>
    <t>Game Name</t>
  </si>
  <si>
    <t>Nickname</t>
  </si>
  <si>
    <t>Classification</t>
  </si>
  <si>
    <t>Examples</t>
  </si>
  <si>
    <t>Description</t>
  </si>
  <si>
    <t>Level Zero</t>
  </si>
  <si>
    <t>Level One</t>
  </si>
  <si>
    <t>Level Two</t>
  </si>
  <si>
    <t>Level Three</t>
  </si>
  <si>
    <t>Level Four</t>
  </si>
  <si>
    <t>Both</t>
  </si>
  <si>
    <t>angiosperms</t>
  </si>
  <si>
    <t>Flowering plants</t>
  </si>
  <si>
    <t>substrate</t>
  </si>
  <si>
    <t>small plant</t>
  </si>
  <si>
    <t>medium plant</t>
  </si>
  <si>
    <t>large plant</t>
  </si>
  <si>
    <t>Monocots</t>
  </si>
  <si>
    <t>Grass, bamboo, Palms, Orchids, Lilies</t>
  </si>
  <si>
    <t>wheat</t>
  </si>
  <si>
    <t>Builds roofs and hats, makes things grow faster, has to stay wet</t>
  </si>
  <si>
    <t>Dirt, soil</t>
  </si>
  <si>
    <t>Palm</t>
  </si>
  <si>
    <t>Dicots</t>
  </si>
  <si>
    <t>Oaks, Maples, Roses, Sunflowers, Lotus</t>
  </si>
  <si>
    <t>irridescent apple pear</t>
  </si>
  <si>
    <t>Like an ostrich, doesn't fly. makes breaks and builds with wood</t>
  </si>
  <si>
    <t>loam, fertile soil</t>
  </si>
  <si>
    <t>lotus</t>
  </si>
  <si>
    <t>bush</t>
  </si>
  <si>
    <t>tree</t>
  </si>
  <si>
    <t>Giant Tree</t>
  </si>
  <si>
    <t>all</t>
  </si>
  <si>
    <t>Chordata Vertebrata</t>
  </si>
  <si>
    <t>All animals with spines</t>
  </si>
  <si>
    <t xml:space="preserve">Fur </t>
  </si>
  <si>
    <t>Mammals</t>
  </si>
  <si>
    <t>hairy peach</t>
  </si>
  <si>
    <t>builds clothes, can go really cold places, but not warm places. Hates getting wet, can't swim. Needs scales to make waterproof clothes.</t>
  </si>
  <si>
    <t>Reptiles</t>
  </si>
  <si>
    <t>dragonfruit/scale fruit, Pineapple? Pinecone?</t>
  </si>
  <si>
    <t>armor and shoes, needs fur to make comfy clothes</t>
  </si>
  <si>
    <t>alligator</t>
  </si>
  <si>
    <t>Birds</t>
  </si>
  <si>
    <t>feathered sky berry</t>
  </si>
  <si>
    <t>Noisy (all the other animals are quiet) and the fastest animal. Only builds nests high up. Has a solid cloud sky island nest but that takes a long time.</t>
  </si>
  <si>
    <t>Chicken</t>
  </si>
  <si>
    <t>Owl</t>
  </si>
  <si>
    <t>Eagle</t>
  </si>
  <si>
    <t>Phoenix/fire/cloud/eagle</t>
  </si>
  <si>
    <t>sea blueberry</t>
  </si>
  <si>
    <t>lives in the deepest place, last of its kind. Animals need to teach it how to be friendly. The people's industry wakes it up</t>
  </si>
  <si>
    <t>eel ball</t>
  </si>
  <si>
    <t>Leviathain</t>
  </si>
  <si>
    <t>amphibians</t>
  </si>
  <si>
    <t>seaweed fruit</t>
  </si>
  <si>
    <t>Goes on land but also swims. can swim up waterfalls, the octopus is its brother, likes decorating things</t>
  </si>
  <si>
    <t>squid ball</t>
  </si>
  <si>
    <t>little squid</t>
  </si>
  <si>
    <t>waterfalls</t>
  </si>
  <si>
    <t>black and white</t>
  </si>
  <si>
    <t>Colors</t>
  </si>
  <si>
    <t>minerals</t>
  </si>
  <si>
    <t>Bronze &amp; Iron</t>
  </si>
  <si>
    <t>Burns</t>
  </si>
  <si>
    <t>Metalics</t>
  </si>
  <si>
    <t>Carries a lot of stuff, very slow. Builds with metal &amp; rock sometimes</t>
  </si>
  <si>
    <t>Coal</t>
  </si>
  <si>
    <t>Burns Metal</t>
  </si>
  <si>
    <t>Ceramics</t>
  </si>
  <si>
    <t>Gemstone Pear</t>
  </si>
  <si>
    <t>Sturdy and quiet, builds out of rock and brick (and metal sometimes) Makes everything underground except for dirt</t>
  </si>
  <si>
    <t>Stone/lava</t>
  </si>
  <si>
    <t>All the animals</t>
  </si>
  <si>
    <t>Rainbow fruit</t>
  </si>
  <si>
    <t>Only protects the other animals, doesn't build anything. Freinds with the Eel and Squid and Octopus</t>
  </si>
  <si>
    <t>Ice animal</t>
  </si>
  <si>
    <t>ice fruit</t>
  </si>
  <si>
    <t>Lives on the high mountain. White and grey fox, like a wolf.</t>
  </si>
  <si>
    <t>Ice</t>
  </si>
  <si>
    <t>Snowball</t>
  </si>
  <si>
    <t>white fox</t>
  </si>
  <si>
    <t>ice wolf</t>
  </si>
  <si>
    <t>Email</t>
  </si>
  <si>
    <t>Website</t>
  </si>
  <si>
    <t>Andrew Kolb</t>
  </si>
  <si>
    <t>https://www.kolbisneat.com</t>
  </si>
  <si>
    <t>nested maps and illustration, wonderland, Neverland, Oz</t>
  </si>
  <si>
    <t>Fractal Philosophy (needs a real name?)</t>
  </si>
  <si>
    <t>https://www.patreon.com/FractalPhilosophy</t>
  </si>
  <si>
    <t>smart simple procgen and simulation</t>
  </si>
  <si>
    <t>Matthew VanDevander</t>
  </si>
  <si>
    <t>Puzzle games, general game design</t>
  </si>
</sst>
</file>

<file path=xl/styles.xml><?xml version="1.0" encoding="utf-8"?>
<styleSheet xmlns="http://schemas.openxmlformats.org/spreadsheetml/2006/main" xmlns:x14ac="http://schemas.microsoft.com/office/spreadsheetml/2009/9/ac" xmlns:mc="http://schemas.openxmlformats.org/markup-compatibility/2006">
  <fonts count="8">
    <font>
      <sz val="10.0"/>
      <color rgb="FF000000"/>
      <name val="Arial"/>
    </font>
    <font/>
    <font>
      <color rgb="FF000000"/>
    </font>
    <font>
      <color rgb="FFF3F3F3"/>
    </font>
    <font>
      <b/>
    </font>
    <font>
      <sz val="9.0"/>
    </font>
    <font>
      <b/>
      <sz val="9.0"/>
    </font>
    <font>
      <u/>
      <color rgb="FF0000FF"/>
    </font>
  </fonts>
  <fills count="16">
    <fill>
      <patternFill patternType="none"/>
    </fill>
    <fill>
      <patternFill patternType="lightGray"/>
    </fill>
    <fill>
      <patternFill patternType="solid">
        <fgColor rgb="FFA4C2F4"/>
        <bgColor rgb="FFA4C2F4"/>
      </patternFill>
    </fill>
    <fill>
      <patternFill patternType="solid">
        <fgColor rgb="FFFFD966"/>
        <bgColor rgb="FFFFD966"/>
      </patternFill>
    </fill>
    <fill>
      <patternFill patternType="solid">
        <fgColor rgb="FF000000"/>
        <bgColor rgb="FF000000"/>
      </patternFill>
    </fill>
    <fill>
      <patternFill patternType="solid">
        <fgColor rgb="FFCC0000"/>
        <bgColor rgb="FFCC0000"/>
      </patternFill>
    </fill>
    <fill>
      <patternFill patternType="solid">
        <fgColor rgb="FFEA9999"/>
        <bgColor rgb="FFEA9999"/>
      </patternFill>
    </fill>
    <fill>
      <patternFill patternType="solid">
        <fgColor rgb="FFF1C232"/>
        <bgColor rgb="FFF1C232"/>
      </patternFill>
    </fill>
    <fill>
      <patternFill patternType="solid">
        <fgColor rgb="FF7F6000"/>
        <bgColor rgb="FF7F6000"/>
      </patternFill>
    </fill>
    <fill>
      <patternFill patternType="solid">
        <fgColor rgb="FFD9D9D9"/>
        <bgColor rgb="FFD9D9D9"/>
      </patternFill>
    </fill>
    <fill>
      <patternFill patternType="solid">
        <fgColor rgb="FFFF9900"/>
        <bgColor rgb="FFFF9900"/>
      </patternFill>
    </fill>
    <fill>
      <patternFill patternType="solid">
        <fgColor rgb="FFD5A6BD"/>
        <bgColor rgb="FFD5A6BD"/>
      </patternFill>
    </fill>
    <fill>
      <patternFill patternType="solid">
        <fgColor rgb="FF7AE80C"/>
        <bgColor rgb="FF7AE80C"/>
      </patternFill>
    </fill>
    <fill>
      <patternFill patternType="solid">
        <fgColor rgb="FFBF9000"/>
        <bgColor rgb="FFBF9000"/>
      </patternFill>
    </fill>
    <fill>
      <patternFill patternType="solid">
        <fgColor rgb="FF6AA84F"/>
        <bgColor rgb="FF6AA84F"/>
      </patternFill>
    </fill>
    <fill>
      <patternFill patternType="solid">
        <fgColor rgb="FF999999"/>
        <bgColor rgb="FF999999"/>
      </patternFill>
    </fill>
  </fills>
  <borders count="14">
    <border/>
    <border>
      <bottom style="thick">
        <color rgb="FF000000"/>
      </bottom>
    </border>
    <border>
      <left style="thick">
        <color rgb="FF000000"/>
      </left>
      <right style="thin">
        <color rgb="FF000000"/>
      </right>
      <bottom style="thin">
        <color rgb="FF000000"/>
      </bottom>
    </border>
    <border>
      <top style="thick">
        <color rgb="FF000000"/>
      </top>
    </border>
    <border>
      <right style="thick">
        <color rgb="FF000000"/>
      </right>
      <top style="thick">
        <color rgb="FF000000"/>
      </top>
    </border>
    <border>
      <left style="thick">
        <color rgb="FF000000"/>
      </left>
    </border>
    <border>
      <left style="thin">
        <color rgb="FF000000"/>
      </left>
      <right style="thin">
        <color rgb="FF000000"/>
      </right>
      <top style="thin">
        <color rgb="FF000000"/>
      </top>
      <bottom style="thin">
        <color rgb="FF000000"/>
      </bottom>
    </border>
    <border>
      <right style="thick">
        <color rgb="FF000000"/>
      </right>
    </border>
    <border>
      <left style="thick">
        <color rgb="FF000000"/>
      </left>
      <bottom style="thick">
        <color rgb="FF000000"/>
      </bottom>
    </border>
    <border>
      <left style="thin">
        <color rgb="FF000000"/>
      </left>
      <right style="thick">
        <color rgb="FF000000"/>
      </right>
      <top style="thin">
        <color rgb="FF000000"/>
      </top>
      <bottom style="thick">
        <color rgb="FF000000"/>
      </bottom>
    </border>
    <border>
      <left style="thick">
        <color rgb="FF000000"/>
      </left>
      <right style="thin">
        <color rgb="FF000000"/>
      </right>
      <top style="thick">
        <color rgb="FF000000"/>
      </top>
      <bottom style="thin">
        <color rgb="FF000000"/>
      </bottom>
    </border>
    <border>
      <top style="thin">
        <color rgb="FF000000"/>
      </top>
    </border>
    <border>
      <bottom style="thin">
        <color rgb="FF000000"/>
      </bottom>
    </border>
    <border>
      <top style="thin">
        <color rgb="FF000000"/>
      </top>
      <bottom style="thin">
        <color rgb="FF000000"/>
      </bottom>
    </border>
  </borders>
  <cellStyleXfs count="1">
    <xf borderId="0" fillId="0" fontId="0" numFmtId="0" applyAlignment="1" applyFont="1"/>
  </cellStyleXfs>
  <cellXfs count="52">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textRotation="90"/>
    </xf>
    <xf borderId="0" fillId="0" fontId="1" numFmtId="0" xfId="0" applyAlignment="1" applyFont="1">
      <alignment horizontal="center" readingOrder="0"/>
    </xf>
    <xf borderId="0" fillId="2" fontId="2" numFmtId="0" xfId="0" applyAlignment="1" applyFill="1" applyFont="1">
      <alignment readingOrder="0"/>
    </xf>
    <xf borderId="0" fillId="3" fontId="1" numFmtId="0" xfId="0" applyAlignment="1" applyFill="1" applyFont="1">
      <alignment readingOrder="0"/>
    </xf>
    <xf borderId="0" fillId="4" fontId="3" numFmtId="0" xfId="0" applyAlignment="1" applyFill="1" applyFont="1">
      <alignment readingOrder="0"/>
    </xf>
    <xf borderId="0" fillId="5" fontId="3" numFmtId="0" xfId="0" applyAlignment="1" applyFill="1" applyFont="1">
      <alignment readingOrder="0"/>
    </xf>
    <xf borderId="0" fillId="6" fontId="2" numFmtId="0" xfId="0" applyAlignment="1" applyFill="1" applyFont="1">
      <alignment readingOrder="0"/>
    </xf>
    <xf borderId="0" fillId="7" fontId="1" numFmtId="0" xfId="0" applyAlignment="1" applyFill="1" applyFont="1">
      <alignment readingOrder="0"/>
    </xf>
    <xf borderId="0" fillId="8" fontId="3" numFmtId="0" xfId="0" applyAlignment="1" applyFill="1" applyFont="1">
      <alignment readingOrder="0"/>
    </xf>
    <xf borderId="0" fillId="9" fontId="1" numFmtId="0" xfId="0" applyAlignment="1" applyFill="1" applyFont="1">
      <alignment readingOrder="0"/>
    </xf>
    <xf borderId="0" fillId="10" fontId="1" numFmtId="0" xfId="0" applyAlignment="1" applyFill="1" applyFont="1">
      <alignment readingOrder="0"/>
    </xf>
    <xf borderId="0" fillId="11" fontId="1" numFmtId="0" xfId="0" applyAlignment="1" applyFill="1" applyFont="1">
      <alignment readingOrder="0"/>
    </xf>
    <xf borderId="0" fillId="12" fontId="1" numFmtId="0" xfId="0" applyAlignment="1" applyFill="1" applyFont="1">
      <alignment readingOrder="0"/>
    </xf>
    <xf borderId="0" fillId="13" fontId="1" numFmtId="0" xfId="0" applyAlignment="1" applyFill="1" applyFont="1">
      <alignment readingOrder="0"/>
    </xf>
    <xf borderId="0" fillId="14" fontId="1" numFmtId="0" xfId="0" applyAlignment="1" applyFill="1" applyFont="1">
      <alignment readingOrder="0"/>
    </xf>
    <xf borderId="0" fillId="0" fontId="4" numFmtId="0" xfId="0" applyAlignment="1" applyFont="1">
      <alignment readingOrder="0"/>
    </xf>
    <xf borderId="0" fillId="0" fontId="4" numFmtId="0" xfId="0" applyAlignment="1" applyFont="1">
      <alignment readingOrder="0" textRotation="90"/>
    </xf>
    <xf borderId="0" fillId="0" fontId="4" numFmtId="0" xfId="0" applyAlignment="1" applyFont="1">
      <alignment horizontal="left" readingOrder="0" textRotation="90"/>
    </xf>
    <xf borderId="0" fillId="0" fontId="5" numFmtId="0" xfId="0" applyAlignment="1" applyFont="1">
      <alignment readingOrder="0"/>
    </xf>
    <xf borderId="1" fillId="0" fontId="5" numFmtId="0" xfId="0" applyAlignment="1" applyBorder="1" applyFont="1">
      <alignment readingOrder="0"/>
    </xf>
    <xf borderId="0" fillId="0" fontId="5" numFmtId="0" xfId="0" applyFont="1"/>
    <xf borderId="2" fillId="0" fontId="5" numFmtId="0" xfId="0" applyAlignment="1" applyBorder="1" applyFont="1">
      <alignment readingOrder="0"/>
    </xf>
    <xf borderId="3" fillId="0" fontId="5" numFmtId="0" xfId="0" applyAlignment="1" applyBorder="1" applyFont="1">
      <alignment readingOrder="0"/>
    </xf>
    <xf borderId="3" fillId="0" fontId="5" numFmtId="0" xfId="0" applyBorder="1" applyFont="1"/>
    <xf borderId="4" fillId="0" fontId="5" numFmtId="0" xfId="0" applyBorder="1" applyFont="1"/>
    <xf borderId="5" fillId="0" fontId="5" numFmtId="0" xfId="0" applyAlignment="1" applyBorder="1" applyFont="1">
      <alignment readingOrder="0"/>
    </xf>
    <xf borderId="6" fillId="0" fontId="5" numFmtId="0" xfId="0" applyAlignment="1" applyBorder="1" applyFont="1">
      <alignment readingOrder="0"/>
    </xf>
    <xf borderId="7" fillId="0" fontId="5" numFmtId="0" xfId="0" applyBorder="1" applyFont="1"/>
    <xf borderId="5" fillId="0" fontId="5" numFmtId="0" xfId="0" applyBorder="1" applyFont="1"/>
    <xf borderId="7" fillId="0" fontId="5" numFmtId="0" xfId="0" applyAlignment="1" applyBorder="1" applyFont="1">
      <alignment readingOrder="0"/>
    </xf>
    <xf borderId="8" fillId="0" fontId="5" numFmtId="0" xfId="0" applyBorder="1" applyFont="1"/>
    <xf borderId="1" fillId="0" fontId="5" numFmtId="0" xfId="0" applyBorder="1" applyFont="1"/>
    <xf borderId="9" fillId="0" fontId="5" numFmtId="0" xfId="0" applyAlignment="1" applyBorder="1" applyFont="1">
      <alignment readingOrder="0"/>
    </xf>
    <xf borderId="0" fillId="0" fontId="6" numFmtId="0" xfId="0" applyAlignment="1" applyFont="1">
      <alignment readingOrder="0"/>
    </xf>
    <xf borderId="10" fillId="0" fontId="5" numFmtId="0" xfId="0" applyAlignment="1" applyBorder="1" applyFont="1">
      <alignment readingOrder="0"/>
    </xf>
    <xf borderId="4" fillId="0" fontId="5" numFmtId="0" xfId="0" applyAlignment="1" applyBorder="1" applyFont="1">
      <alignment readingOrder="0"/>
    </xf>
    <xf borderId="8" fillId="0" fontId="5" numFmtId="0" xfId="0" applyAlignment="1" applyBorder="1" applyFont="1">
      <alignment readingOrder="0"/>
    </xf>
    <xf borderId="0" fillId="0" fontId="1" numFmtId="0" xfId="0" applyAlignment="1" applyFont="1">
      <alignment readingOrder="0" textRotation="0"/>
    </xf>
    <xf borderId="0" fillId="15" fontId="1" numFmtId="0" xfId="0" applyAlignment="1" applyFill="1" applyFont="1">
      <alignment readingOrder="0"/>
    </xf>
    <xf borderId="0" fillId="0" fontId="1" numFmtId="49" xfId="0" applyAlignment="1" applyFont="1" applyNumberFormat="1">
      <alignment readingOrder="0"/>
    </xf>
    <xf borderId="11" fillId="0" fontId="4" numFmtId="0" xfId="0" applyAlignment="1" applyBorder="1" applyFont="1">
      <alignment readingOrder="0"/>
    </xf>
    <xf borderId="11" fillId="0" fontId="1" numFmtId="0" xfId="0" applyAlignment="1" applyBorder="1" applyFont="1">
      <alignment readingOrder="0"/>
    </xf>
    <xf borderId="11" fillId="0" fontId="1" numFmtId="0" xfId="0" applyBorder="1" applyFont="1"/>
    <xf borderId="12" fillId="0" fontId="4" numFmtId="0" xfId="0" applyAlignment="1" applyBorder="1" applyFont="1">
      <alignment readingOrder="0"/>
    </xf>
    <xf borderId="12" fillId="0" fontId="1" numFmtId="0" xfId="0" applyAlignment="1" applyBorder="1" applyFont="1">
      <alignment readingOrder="0"/>
    </xf>
    <xf borderId="12" fillId="0" fontId="1" numFmtId="0" xfId="0" applyBorder="1" applyFont="1"/>
    <xf borderId="13" fillId="0" fontId="4" numFmtId="0" xfId="0" applyAlignment="1" applyBorder="1" applyFont="1">
      <alignment readingOrder="0"/>
    </xf>
    <xf borderId="13" fillId="0" fontId="1" numFmtId="0" xfId="0" applyBorder="1" applyFont="1"/>
    <xf borderId="13" fillId="0" fontId="1" numFmtId="0" xfId="0" applyAlignment="1" applyBorder="1" applyFont="1">
      <alignment readingOrder="0"/>
    </xf>
    <xf borderId="0" fillId="0" fontId="7" numFmtId="0" xfId="0" applyAlignment="1" applyFont="1">
      <alignment readingOrder="0"/>
    </xf>
  </cellXfs>
  <cellStyles count="1">
    <cellStyle xfId="0" name="Normal" builtinId="0"/>
  </cellStyles>
  <dxfs count="8">
    <dxf>
      <font/>
      <fill>
        <patternFill patternType="solid">
          <fgColor rgb="FFB7E1CD"/>
          <bgColor rgb="FFB7E1CD"/>
        </patternFill>
      </fill>
      <border/>
    </dxf>
    <dxf>
      <font/>
      <fill>
        <patternFill patternType="solid">
          <fgColor rgb="FFFFFF00"/>
          <bgColor rgb="FFFFFF00"/>
        </patternFill>
      </fill>
      <border/>
    </dxf>
    <dxf>
      <font/>
      <fill>
        <patternFill patternType="solid">
          <fgColor rgb="FFFF9900"/>
          <bgColor rgb="FFFF9900"/>
        </patternFill>
      </fill>
      <border/>
    </dxf>
    <dxf>
      <font/>
      <fill>
        <patternFill patternType="solid">
          <fgColor rgb="FFD5A6BD"/>
          <bgColor rgb="FFD5A6BD"/>
        </patternFill>
      </fill>
      <border/>
    </dxf>
    <dxf>
      <font/>
      <fill>
        <patternFill patternType="solid">
          <fgColor rgb="FFDD7E6B"/>
          <bgColor rgb="FFDD7E6B"/>
        </patternFill>
      </fill>
      <border/>
    </dxf>
    <dxf>
      <font/>
      <fill>
        <patternFill patternType="solid">
          <fgColor rgb="FFB4A7D6"/>
          <bgColor rgb="FFB4A7D6"/>
        </patternFill>
      </fill>
      <border/>
    </dxf>
    <dxf>
      <font/>
      <fill>
        <patternFill patternType="solid">
          <fgColor rgb="FFFCE8B2"/>
          <bgColor rgb="FFFCE8B2"/>
        </patternFill>
      </fill>
      <border/>
    </dxf>
    <dxf>
      <font>
        <b/>
      </font>
      <fill>
        <patternFill patternType="none"/>
      </fill>
      <border/>
    </dxf>
  </dxfs>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hyperlink" Target="https://www.kolbisneat.com" TargetMode="External"/><Relationship Id="rId2" Type="http://schemas.openxmlformats.org/officeDocument/2006/relationships/hyperlink" Target="https://www.patreon.com/FractalPhilosophy" TargetMode="External"/><Relationship Id="rId3"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75"/>
  </cols>
  <sheetData>
    <row r="2">
      <c r="A2" s="1" t="s">
        <v>0</v>
      </c>
      <c r="B2" s="1" t="s">
        <v>1</v>
      </c>
      <c r="C2" s="2" t="s">
        <v>2</v>
      </c>
      <c r="D2" s="2" t="s">
        <v>3</v>
      </c>
      <c r="E2" s="2" t="s">
        <v>4</v>
      </c>
      <c r="F2" s="2" t="s">
        <v>5</v>
      </c>
      <c r="G2" s="2" t="s">
        <v>6</v>
      </c>
      <c r="H2" s="2" t="s">
        <v>7</v>
      </c>
    </row>
    <row r="3">
      <c r="A3" s="1" t="s">
        <v>8</v>
      </c>
      <c r="B3" s="1">
        <v>1.0</v>
      </c>
      <c r="C3" s="1" t="s">
        <v>9</v>
      </c>
      <c r="D3" s="1" t="s">
        <v>10</v>
      </c>
      <c r="E3" s="1" t="s">
        <v>11</v>
      </c>
      <c r="F3" s="1" t="s">
        <v>12</v>
      </c>
      <c r="G3" s="1" t="s">
        <v>13</v>
      </c>
      <c r="H3" s="1" t="s">
        <v>14</v>
      </c>
    </row>
    <row r="4">
      <c r="B4" s="1" t="s">
        <v>15</v>
      </c>
      <c r="C4" s="1" t="s">
        <v>16</v>
      </c>
      <c r="D4" s="1" t="s">
        <v>17</v>
      </c>
      <c r="E4" s="1" t="s">
        <v>18</v>
      </c>
      <c r="F4" s="1" t="s">
        <v>19</v>
      </c>
      <c r="G4" s="1" t="s">
        <v>20</v>
      </c>
      <c r="H4" s="1" t="s">
        <v>16</v>
      </c>
    </row>
    <row r="5">
      <c r="B5" s="1" t="s">
        <v>21</v>
      </c>
      <c r="C5" s="1" t="s">
        <v>22</v>
      </c>
      <c r="E5" s="1" t="s">
        <v>23</v>
      </c>
      <c r="F5" s="1" t="s">
        <v>20</v>
      </c>
      <c r="H5" s="1" t="s">
        <v>20</v>
      </c>
    </row>
    <row r="6">
      <c r="B6" s="1" t="s">
        <v>24</v>
      </c>
      <c r="C6" s="1" t="s">
        <v>20</v>
      </c>
      <c r="E6" s="1" t="s">
        <v>20</v>
      </c>
    </row>
    <row r="7">
      <c r="A7" s="1" t="s">
        <v>25</v>
      </c>
      <c r="B7" s="1">
        <v>3.0</v>
      </c>
      <c r="C7" s="1" t="s">
        <v>20</v>
      </c>
      <c r="D7" s="1" t="s">
        <v>20</v>
      </c>
      <c r="E7" s="1" t="s">
        <v>20</v>
      </c>
      <c r="F7" s="1" t="s">
        <v>20</v>
      </c>
      <c r="G7" s="1" t="s">
        <v>26</v>
      </c>
      <c r="H7" s="1" t="s">
        <v>20</v>
      </c>
    </row>
    <row r="9">
      <c r="B9" s="1" t="s">
        <v>27</v>
      </c>
    </row>
    <row r="10">
      <c r="B10" s="1" t="s">
        <v>28</v>
      </c>
    </row>
    <row r="11">
      <c r="B11" s="1" t="s">
        <v>29</v>
      </c>
    </row>
    <row r="12">
      <c r="B12" s="1" t="s">
        <v>30</v>
      </c>
    </row>
    <row r="13">
      <c r="B13" s="1" t="s">
        <v>31</v>
      </c>
    </row>
    <row r="14">
      <c r="B14" s="1" t="s">
        <v>32</v>
      </c>
    </row>
    <row r="15">
      <c r="B15" s="1" t="s">
        <v>33</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34</v>
      </c>
      <c r="B1" s="1" t="s">
        <v>35</v>
      </c>
      <c r="C1" s="1" t="s">
        <v>36</v>
      </c>
      <c r="D1" s="1" t="s">
        <v>37</v>
      </c>
    </row>
    <row r="2">
      <c r="A2" s="1">
        <v>0.0</v>
      </c>
      <c r="B2" s="1" t="s">
        <v>38</v>
      </c>
      <c r="C2" s="1" t="s">
        <v>39</v>
      </c>
    </row>
    <row r="3">
      <c r="A3" s="1">
        <v>1.0</v>
      </c>
      <c r="B3" s="1" t="s">
        <v>40</v>
      </c>
      <c r="C3" s="1" t="s">
        <v>41</v>
      </c>
    </row>
    <row r="4">
      <c r="A4" s="1">
        <v>2.0</v>
      </c>
      <c r="B4" s="1" t="s">
        <v>42</v>
      </c>
      <c r="C4" s="1" t="s">
        <v>43</v>
      </c>
    </row>
    <row r="5">
      <c r="A5" s="1">
        <v>3.0</v>
      </c>
      <c r="B5" s="1" t="s">
        <v>44</v>
      </c>
      <c r="C5" s="1" t="s">
        <v>45</v>
      </c>
    </row>
    <row r="6">
      <c r="A6" s="1">
        <v>4.0</v>
      </c>
      <c r="B6" s="1" t="s">
        <v>46</v>
      </c>
      <c r="C6" s="1" t="s">
        <v>47</v>
      </c>
    </row>
    <row r="7">
      <c r="A7" s="1">
        <v>5.0</v>
      </c>
      <c r="B7" s="1" t="s">
        <v>48</v>
      </c>
      <c r="C7" s="1" t="s">
        <v>49</v>
      </c>
    </row>
    <row r="8">
      <c r="A8" s="1">
        <v>6.0</v>
      </c>
      <c r="B8" s="1" t="s">
        <v>50</v>
      </c>
      <c r="C8" s="1" t="s">
        <v>51</v>
      </c>
    </row>
    <row r="9">
      <c r="A9" s="1">
        <v>7.0</v>
      </c>
      <c r="B9" s="1" t="s">
        <v>52</v>
      </c>
      <c r="C9" s="1" t="s">
        <v>53</v>
      </c>
    </row>
    <row r="10">
      <c r="A10" s="1">
        <v>8.0</v>
      </c>
      <c r="B10" s="1" t="s">
        <v>54</v>
      </c>
      <c r="C10" s="1" t="s">
        <v>55</v>
      </c>
    </row>
    <row r="11">
      <c r="A11" s="1">
        <v>9.0</v>
      </c>
      <c r="B11" s="1" t="s">
        <v>56</v>
      </c>
      <c r="C11" s="1" t="s">
        <v>57</v>
      </c>
    </row>
    <row r="12">
      <c r="A12" s="1">
        <v>10.0</v>
      </c>
      <c r="B12" s="1" t="s">
        <v>58</v>
      </c>
      <c r="C12" s="1" t="s">
        <v>59</v>
      </c>
    </row>
    <row r="13">
      <c r="A13" s="1">
        <v>11.0</v>
      </c>
      <c r="B13" s="1" t="s">
        <v>60</v>
      </c>
      <c r="C13" s="1" t="s">
        <v>61</v>
      </c>
      <c r="D13" s="1" t="s">
        <v>62</v>
      </c>
    </row>
    <row r="14">
      <c r="A14" s="1">
        <v>12.0</v>
      </c>
      <c r="B14" s="1" t="s">
        <v>63</v>
      </c>
      <c r="C14" s="1" t="s">
        <v>64</v>
      </c>
      <c r="D14" s="1" t="s">
        <v>65</v>
      </c>
    </row>
    <row r="15">
      <c r="A15" s="1">
        <v>13.0</v>
      </c>
      <c r="B15" s="1" t="s">
        <v>66</v>
      </c>
      <c r="C15" s="1" t="s">
        <v>67</v>
      </c>
      <c r="D15" s="1" t="s">
        <v>68</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9.38"/>
    <col customWidth="1" min="8" max="13" width="10.75"/>
    <col customWidth="1" min="14" max="14" width="38.38"/>
  </cols>
  <sheetData>
    <row r="1">
      <c r="A1" s="3" t="s">
        <v>69</v>
      </c>
      <c r="B1" s="3" t="s">
        <v>70</v>
      </c>
      <c r="H1" s="3" t="s">
        <v>71</v>
      </c>
      <c r="N1" s="1" t="s">
        <v>37</v>
      </c>
    </row>
    <row r="2">
      <c r="A2" s="1" t="s">
        <v>72</v>
      </c>
      <c r="B2" s="1" t="s">
        <v>35</v>
      </c>
      <c r="C2" s="1" t="s">
        <v>73</v>
      </c>
      <c r="D2" s="1" t="s">
        <v>74</v>
      </c>
      <c r="E2" s="1" t="s">
        <v>75</v>
      </c>
      <c r="F2" s="1" t="s">
        <v>76</v>
      </c>
      <c r="G2" s="1" t="s">
        <v>77</v>
      </c>
      <c r="H2" s="1">
        <v>0.0</v>
      </c>
      <c r="I2" s="1">
        <v>1.0</v>
      </c>
      <c r="J2" s="1">
        <v>2.0</v>
      </c>
      <c r="K2" s="1">
        <v>3.0</v>
      </c>
      <c r="L2" s="1">
        <v>4.0</v>
      </c>
      <c r="M2" s="1">
        <v>5.0</v>
      </c>
      <c r="N2" s="1" t="s">
        <v>78</v>
      </c>
    </row>
    <row r="3">
      <c r="A3" s="1" t="s">
        <v>79</v>
      </c>
      <c r="B3" s="1" t="s">
        <v>80</v>
      </c>
      <c r="C3" s="4" t="s">
        <v>81</v>
      </c>
      <c r="D3" s="1" t="s">
        <v>82</v>
      </c>
      <c r="E3" s="1" t="s">
        <v>83</v>
      </c>
      <c r="F3" s="1">
        <v>13.0</v>
      </c>
      <c r="G3" s="1" t="s">
        <v>84</v>
      </c>
      <c r="H3" s="1" t="s">
        <v>85</v>
      </c>
      <c r="I3" s="1" t="s">
        <v>86</v>
      </c>
      <c r="J3" s="1" t="s">
        <v>87</v>
      </c>
      <c r="K3" s="1" t="s">
        <v>88</v>
      </c>
      <c r="L3" s="1"/>
      <c r="N3" s="1"/>
    </row>
    <row r="4">
      <c r="A4" s="1">
        <v>2.0</v>
      </c>
      <c r="B4" s="1" t="s">
        <v>47</v>
      </c>
      <c r="C4" s="5" t="s">
        <v>89</v>
      </c>
      <c r="D4" s="1" t="s">
        <v>90</v>
      </c>
      <c r="E4" s="1" t="s">
        <v>83</v>
      </c>
      <c r="F4" s="1">
        <v>4.0</v>
      </c>
      <c r="G4" s="1" t="s">
        <v>91</v>
      </c>
      <c r="H4" s="1" t="s">
        <v>92</v>
      </c>
      <c r="I4" s="1" t="s">
        <v>93</v>
      </c>
      <c r="J4" s="1" t="s">
        <v>94</v>
      </c>
      <c r="K4" s="1" t="s">
        <v>95</v>
      </c>
      <c r="L4" t="str">
        <f>CONCAT("Ancient ",K4)</f>
        <v>Ancient oak/wood</v>
      </c>
      <c r="N4" s="1" t="s">
        <v>96</v>
      </c>
    </row>
    <row r="5">
      <c r="A5" s="1" t="s">
        <v>79</v>
      </c>
      <c r="B5" s="1" t="s">
        <v>97</v>
      </c>
      <c r="C5" s="6" t="s">
        <v>98</v>
      </c>
      <c r="D5" s="1" t="s">
        <v>99</v>
      </c>
      <c r="E5" s="1" t="s">
        <v>83</v>
      </c>
      <c r="F5" s="1">
        <v>13.0</v>
      </c>
      <c r="G5" s="1" t="s">
        <v>100</v>
      </c>
      <c r="H5" s="1" t="s">
        <v>101</v>
      </c>
      <c r="I5" s="1" t="s">
        <v>102</v>
      </c>
      <c r="J5" s="1" t="s">
        <v>103</v>
      </c>
      <c r="K5" s="1" t="s">
        <v>97</v>
      </c>
      <c r="L5" s="1" t="s">
        <v>104</v>
      </c>
      <c r="M5" t="str">
        <f>CONCAT("Ancient ",L5)</f>
        <v>Ancient Big Dragon</v>
      </c>
      <c r="N5" s="1" t="s">
        <v>105</v>
      </c>
    </row>
    <row r="6">
      <c r="A6" s="1">
        <v>123.0</v>
      </c>
      <c r="B6" s="1" t="s">
        <v>106</v>
      </c>
      <c r="C6" s="7" t="s">
        <v>107</v>
      </c>
      <c r="D6" s="1" t="s">
        <v>108</v>
      </c>
      <c r="E6" s="1" t="s">
        <v>109</v>
      </c>
      <c r="F6" s="1">
        <v>0.0</v>
      </c>
      <c r="G6" s="1" t="s">
        <v>110</v>
      </c>
      <c r="H6" s="1" t="s">
        <v>101</v>
      </c>
      <c r="I6" s="1" t="s">
        <v>111</v>
      </c>
      <c r="J6" s="1" t="s">
        <v>112</v>
      </c>
      <c r="K6" s="1" t="s">
        <v>113</v>
      </c>
      <c r="L6" t="str">
        <f>CONCAT("Ancient ",K6)</f>
        <v>Ancient Swordfish</v>
      </c>
    </row>
    <row r="7">
      <c r="A7" s="1">
        <v>0.0</v>
      </c>
      <c r="B7" s="1" t="s">
        <v>114</v>
      </c>
      <c r="C7" s="4" t="s">
        <v>81</v>
      </c>
      <c r="D7" s="1" t="s">
        <v>115</v>
      </c>
      <c r="E7" s="1" t="s">
        <v>109</v>
      </c>
      <c r="F7" s="1">
        <v>0.0</v>
      </c>
      <c r="G7" s="1" t="s">
        <v>116</v>
      </c>
      <c r="H7" s="1" t="s">
        <v>117</v>
      </c>
      <c r="I7" s="1" t="s">
        <v>118</v>
      </c>
      <c r="J7" s="1" t="s">
        <v>119</v>
      </c>
      <c r="K7" s="1" t="s">
        <v>120</v>
      </c>
      <c r="L7" s="1" t="s">
        <v>121</v>
      </c>
      <c r="M7" t="str">
        <f t="shared" ref="M7:M8" si="1">CONCAT("Ancient ",L7)</f>
        <v>Ancient Tuna</v>
      </c>
      <c r="N7" s="1"/>
    </row>
    <row r="8">
      <c r="A8" s="1">
        <v>0.0</v>
      </c>
      <c r="B8" s="1" t="s">
        <v>122</v>
      </c>
      <c r="C8" s="8" t="s">
        <v>107</v>
      </c>
      <c r="D8" s="1" t="s">
        <v>123</v>
      </c>
      <c r="E8" s="1" t="s">
        <v>124</v>
      </c>
      <c r="F8" s="1">
        <v>11.0</v>
      </c>
      <c r="G8" s="1" t="s">
        <v>125</v>
      </c>
      <c r="H8" s="1" t="s">
        <v>126</v>
      </c>
      <c r="I8" s="1" t="s">
        <v>127</v>
      </c>
      <c r="J8" s="1" t="s">
        <v>128</v>
      </c>
      <c r="K8" s="1" t="s">
        <v>129</v>
      </c>
      <c r="L8" s="1" t="s">
        <v>130</v>
      </c>
      <c r="M8" t="str">
        <f t="shared" si="1"/>
        <v>Ancient Inferno</v>
      </c>
      <c r="N8" s="1"/>
    </row>
    <row r="9">
      <c r="A9" s="1">
        <v>5.0</v>
      </c>
      <c r="B9" s="1" t="s">
        <v>131</v>
      </c>
      <c r="C9" s="9" t="s">
        <v>132</v>
      </c>
      <c r="D9" s="1" t="s">
        <v>133</v>
      </c>
      <c r="E9" s="1" t="s">
        <v>134</v>
      </c>
      <c r="F9" s="1">
        <v>12.0</v>
      </c>
      <c r="G9" s="1" t="s">
        <v>135</v>
      </c>
      <c r="H9" s="1" t="s">
        <v>41</v>
      </c>
      <c r="I9" s="1" t="s">
        <v>136</v>
      </c>
      <c r="J9" s="1" t="s">
        <v>137</v>
      </c>
      <c r="K9" s="1" t="s">
        <v>138</v>
      </c>
      <c r="L9" t="str">
        <f>CONCAT("Ancient ",K9)</f>
        <v>Ancient Mammoth</v>
      </c>
      <c r="N9" s="1" t="s">
        <v>139</v>
      </c>
    </row>
    <row r="10">
      <c r="A10" s="1">
        <v>5.0</v>
      </c>
      <c r="B10" s="1" t="s">
        <v>140</v>
      </c>
      <c r="C10" s="6" t="s">
        <v>141</v>
      </c>
      <c r="D10" s="1" t="s">
        <v>133</v>
      </c>
      <c r="E10" s="1" t="s">
        <v>134</v>
      </c>
      <c r="F10" s="1">
        <v>12.0</v>
      </c>
      <c r="G10" s="1" t="s">
        <v>142</v>
      </c>
      <c r="H10" s="1" t="s">
        <v>41</v>
      </c>
      <c r="I10" s="1" t="s">
        <v>143</v>
      </c>
      <c r="J10" s="1" t="s">
        <v>144</v>
      </c>
      <c r="K10" s="1" t="s">
        <v>145</v>
      </c>
      <c r="L10" s="1" t="s">
        <v>146</v>
      </c>
      <c r="M10" t="str">
        <f>CONCAT("Ancient ",L10)</f>
        <v>Ancient Deer</v>
      </c>
      <c r="N10" s="1" t="s">
        <v>147</v>
      </c>
    </row>
    <row r="11">
      <c r="A11" s="1">
        <v>54.0</v>
      </c>
      <c r="B11" s="1" t="s">
        <v>148</v>
      </c>
      <c r="C11" s="10" t="s">
        <v>149</v>
      </c>
      <c r="D11" s="1" t="s">
        <v>150</v>
      </c>
      <c r="E11" s="1" t="s">
        <v>151</v>
      </c>
      <c r="F11" s="1">
        <v>11.0</v>
      </c>
      <c r="G11" s="1" t="s">
        <v>152</v>
      </c>
      <c r="H11" s="1" t="s">
        <v>153</v>
      </c>
      <c r="I11" s="1" t="s">
        <v>154</v>
      </c>
      <c r="J11" s="1" t="s">
        <v>155</v>
      </c>
      <c r="K11" s="1" t="s">
        <v>156</v>
      </c>
      <c r="L11" t="str">
        <f>CONCAT("Ancient ",K11)</f>
        <v>Ancient Robo-badger</v>
      </c>
      <c r="M11" s="1"/>
      <c r="N11" s="1" t="s">
        <v>157</v>
      </c>
    </row>
    <row r="12">
      <c r="A12" s="1">
        <v>5.0</v>
      </c>
      <c r="B12" s="1" t="s">
        <v>51</v>
      </c>
      <c r="C12" s="11" t="s">
        <v>158</v>
      </c>
      <c r="D12" s="1" t="s">
        <v>159</v>
      </c>
      <c r="E12" s="1" t="s">
        <v>151</v>
      </c>
      <c r="F12" s="1">
        <v>6.0</v>
      </c>
      <c r="G12" s="1" t="s">
        <v>160</v>
      </c>
      <c r="H12" s="1" t="s">
        <v>161</v>
      </c>
      <c r="I12" s="1" t="s">
        <v>162</v>
      </c>
      <c r="J12" s="1" t="s">
        <v>163</v>
      </c>
      <c r="K12" s="1" t="s">
        <v>164</v>
      </c>
      <c r="L12" s="1" t="s">
        <v>165</v>
      </c>
      <c r="M12" t="str">
        <f>CONCAT("Ancient ",L12)</f>
        <v>Ancient diamond</v>
      </c>
      <c r="N12" s="1" t="s">
        <v>166</v>
      </c>
    </row>
    <row r="13">
      <c r="A13" s="1">
        <v>1.0</v>
      </c>
      <c r="B13" s="1" t="s">
        <v>167</v>
      </c>
      <c r="C13" s="9" t="s">
        <v>132</v>
      </c>
      <c r="D13" s="1" t="s">
        <v>168</v>
      </c>
      <c r="E13" s="1" t="s">
        <v>134</v>
      </c>
      <c r="F13" s="1">
        <v>2.0</v>
      </c>
      <c r="G13" s="1" t="s">
        <v>169</v>
      </c>
      <c r="H13" s="1" t="s">
        <v>170</v>
      </c>
      <c r="I13" s="1" t="s">
        <v>171</v>
      </c>
      <c r="J13" s="1" t="s">
        <v>172</v>
      </c>
      <c r="K13" s="1" t="s">
        <v>173</v>
      </c>
      <c r="L13" t="str">
        <f>CONCAT("Ancient ",K13)</f>
        <v>Ancient yak</v>
      </c>
      <c r="N13" s="1" t="s">
        <v>174</v>
      </c>
    </row>
    <row r="14">
      <c r="A14" s="1">
        <v>0.0</v>
      </c>
      <c r="B14" s="1" t="s">
        <v>175</v>
      </c>
      <c r="C14" s="1" t="s">
        <v>176</v>
      </c>
      <c r="D14" s="1" t="s">
        <v>177</v>
      </c>
      <c r="E14" s="1" t="s">
        <v>134</v>
      </c>
      <c r="F14" s="1">
        <v>2.0</v>
      </c>
      <c r="G14" s="1" t="s">
        <v>178</v>
      </c>
      <c r="H14" s="1" t="s">
        <v>167</v>
      </c>
      <c r="I14" s="1" t="s">
        <v>179</v>
      </c>
      <c r="J14" s="1" t="s">
        <v>180</v>
      </c>
      <c r="K14" s="1" t="s">
        <v>181</v>
      </c>
      <c r="L14" s="1" t="s">
        <v>182</v>
      </c>
      <c r="M14" t="str">
        <f>CONCAT("Ancient ",L14)</f>
        <v>Ancient Fox-Wolf</v>
      </c>
      <c r="N14" s="1" t="s">
        <v>183</v>
      </c>
    </row>
    <row r="15">
      <c r="A15" s="1">
        <v>67.0</v>
      </c>
      <c r="B15" s="1" t="s">
        <v>184</v>
      </c>
      <c r="C15" s="12" t="s">
        <v>185</v>
      </c>
      <c r="D15" s="1" t="s">
        <v>186</v>
      </c>
      <c r="E15" s="1" t="s">
        <v>109</v>
      </c>
      <c r="F15" s="1">
        <v>0.0</v>
      </c>
      <c r="G15" s="1" t="s">
        <v>110</v>
      </c>
      <c r="H15" s="1" t="s">
        <v>187</v>
      </c>
      <c r="I15" s="1" t="s">
        <v>101</v>
      </c>
      <c r="J15" s="1" t="s">
        <v>188</v>
      </c>
      <c r="K15" s="1" t="s">
        <v>189</v>
      </c>
      <c r="L15" t="str">
        <f t="shared" ref="L15:L20" si="2">CONCAT("Ancient ",K15)</f>
        <v>Ancient Large fish</v>
      </c>
      <c r="N15" s="1" t="s">
        <v>190</v>
      </c>
    </row>
    <row r="16">
      <c r="A16" s="1">
        <v>89.0</v>
      </c>
      <c r="B16" s="1" t="s">
        <v>191</v>
      </c>
      <c r="C16" s="12" t="s">
        <v>185</v>
      </c>
      <c r="D16" s="1" t="s">
        <v>186</v>
      </c>
      <c r="E16" s="1" t="s">
        <v>192</v>
      </c>
      <c r="F16" s="1">
        <v>0.0</v>
      </c>
      <c r="G16" s="1" t="s">
        <v>193</v>
      </c>
      <c r="H16" s="1" t="s">
        <v>187</v>
      </c>
      <c r="I16" s="1" t="s">
        <v>194</v>
      </c>
      <c r="J16" s="1" t="s">
        <v>195</v>
      </c>
      <c r="K16" s="1" t="s">
        <v>196</v>
      </c>
      <c r="L16" t="str">
        <f t="shared" si="2"/>
        <v>Ancient Blobfish</v>
      </c>
      <c r="N16" s="1" t="s">
        <v>197</v>
      </c>
    </row>
    <row r="17">
      <c r="A17" s="1">
        <v>447.0</v>
      </c>
      <c r="B17" s="1" t="s">
        <v>198</v>
      </c>
      <c r="C17" s="7" t="s">
        <v>199</v>
      </c>
      <c r="D17" s="1" t="s">
        <v>200</v>
      </c>
      <c r="E17" s="1" t="s">
        <v>83</v>
      </c>
      <c r="F17" s="1">
        <v>5.0</v>
      </c>
      <c r="G17" s="1" t="s">
        <v>201</v>
      </c>
      <c r="H17" s="1" t="s">
        <v>201</v>
      </c>
      <c r="I17" s="1" t="s">
        <v>198</v>
      </c>
      <c r="J17" s="1" t="s">
        <v>202</v>
      </c>
      <c r="K17" s="1" t="s">
        <v>203</v>
      </c>
      <c r="L17" t="str">
        <f t="shared" si="2"/>
        <v>Ancient Furnace </v>
      </c>
      <c r="N17" s="1"/>
    </row>
    <row r="18">
      <c r="A18" s="1">
        <v>8.0</v>
      </c>
      <c r="B18" s="1" t="s">
        <v>204</v>
      </c>
      <c r="C18" s="1" t="s">
        <v>205</v>
      </c>
      <c r="D18" s="1" t="s">
        <v>206</v>
      </c>
      <c r="E18" s="1" t="s">
        <v>151</v>
      </c>
      <c r="F18" s="1">
        <v>5.0</v>
      </c>
      <c r="G18" s="1" t="s">
        <v>207</v>
      </c>
      <c r="H18" s="1" t="s">
        <v>162</v>
      </c>
      <c r="I18" s="1" t="s">
        <v>208</v>
      </c>
      <c r="J18" s="1" t="s">
        <v>209</v>
      </c>
      <c r="K18" s="1" t="s">
        <v>207</v>
      </c>
      <c r="L18" t="str">
        <f t="shared" si="2"/>
        <v>Ancient metal</v>
      </c>
      <c r="N18" s="1" t="s">
        <v>210</v>
      </c>
    </row>
    <row r="19">
      <c r="A19" s="1">
        <v>0.0</v>
      </c>
      <c r="B19" s="1" t="s">
        <v>211</v>
      </c>
      <c r="C19" s="6" t="s">
        <v>141</v>
      </c>
      <c r="D19" s="1" t="s">
        <v>212</v>
      </c>
      <c r="E19" s="1" t="s">
        <v>213</v>
      </c>
      <c r="F19" s="1">
        <v>10.0</v>
      </c>
      <c r="G19" s="1" t="s">
        <v>214</v>
      </c>
      <c r="H19" s="1" t="s">
        <v>187</v>
      </c>
      <c r="I19" s="1" t="s">
        <v>215</v>
      </c>
      <c r="J19" s="1" t="s">
        <v>216</v>
      </c>
      <c r="K19" s="1" t="s">
        <v>217</v>
      </c>
      <c r="L19" t="str">
        <f t="shared" si="2"/>
        <v>Ancient Lamprey</v>
      </c>
      <c r="N19" s="1" t="s">
        <v>218</v>
      </c>
    </row>
    <row r="20">
      <c r="A20" s="1">
        <v>3.0</v>
      </c>
      <c r="B20" s="1" t="s">
        <v>45</v>
      </c>
      <c r="C20" s="13" t="s">
        <v>219</v>
      </c>
      <c r="D20" s="1" t="s">
        <v>220</v>
      </c>
      <c r="E20" s="1" t="s">
        <v>83</v>
      </c>
      <c r="F20" s="1">
        <v>3.0</v>
      </c>
      <c r="G20" s="1" t="s">
        <v>100</v>
      </c>
      <c r="H20" s="1" t="s">
        <v>221</v>
      </c>
      <c r="I20" s="1" t="s">
        <v>222</v>
      </c>
      <c r="J20" s="1" t="s">
        <v>223</v>
      </c>
      <c r="K20" s="1" t="s">
        <v>224</v>
      </c>
      <c r="L20" t="str">
        <f t="shared" si="2"/>
        <v>Ancient Komodo</v>
      </c>
      <c r="N20" s="1" t="s">
        <v>225</v>
      </c>
    </row>
    <row r="21">
      <c r="A21" s="1">
        <v>335.0</v>
      </c>
      <c r="B21" s="1" t="s">
        <v>7</v>
      </c>
      <c r="C21" s="4" t="s">
        <v>81</v>
      </c>
      <c r="D21" s="1" t="s">
        <v>226</v>
      </c>
      <c r="E21" s="1" t="s">
        <v>192</v>
      </c>
      <c r="F21" s="1">
        <v>9.0</v>
      </c>
      <c r="G21" s="1" t="s">
        <v>227</v>
      </c>
      <c r="H21" s="1" t="s">
        <v>228</v>
      </c>
      <c r="I21" s="1" t="s">
        <v>229</v>
      </c>
      <c r="J21" s="1" t="s">
        <v>7</v>
      </c>
      <c r="K21" t="str">
        <f>CONCAT("Ancient ",J21)</f>
        <v>Ancient Eel</v>
      </c>
      <c r="N21" s="1" t="s">
        <v>230</v>
      </c>
    </row>
    <row r="22">
      <c r="A22" s="1">
        <v>21.0</v>
      </c>
      <c r="B22" s="1" t="s">
        <v>231</v>
      </c>
      <c r="C22" s="1" t="s">
        <v>232</v>
      </c>
      <c r="D22" s="1" t="s">
        <v>233</v>
      </c>
      <c r="E22" s="1" t="s">
        <v>234</v>
      </c>
      <c r="F22" s="1">
        <v>10.0</v>
      </c>
      <c r="G22" s="1" t="s">
        <v>235</v>
      </c>
      <c r="H22" s="1" t="s">
        <v>117</v>
      </c>
      <c r="I22" s="1" t="s">
        <v>236</v>
      </c>
      <c r="J22" s="1" t="s">
        <v>237</v>
      </c>
      <c r="K22" s="1" t="s">
        <v>238</v>
      </c>
      <c r="L22" t="str">
        <f t="shared" ref="L22:L23" si="3">CONCAT("Ancient ",K22)</f>
        <v>Ancient paint</v>
      </c>
      <c r="N22" s="1" t="s">
        <v>239</v>
      </c>
    </row>
    <row r="23">
      <c r="A23" s="1">
        <v>34.0</v>
      </c>
      <c r="B23" s="1" t="s">
        <v>240</v>
      </c>
      <c r="C23" s="1" t="s">
        <v>176</v>
      </c>
      <c r="D23" s="1" t="s">
        <v>241</v>
      </c>
      <c r="E23" s="1" t="s">
        <v>83</v>
      </c>
      <c r="F23" s="1">
        <v>5.0</v>
      </c>
      <c r="G23" s="1" t="s">
        <v>242</v>
      </c>
      <c r="H23" t="str">
        <f>L15</f>
        <v>Ancient Large fish</v>
      </c>
      <c r="I23" s="1" t="s">
        <v>243</v>
      </c>
      <c r="J23" s="1" t="s">
        <v>244</v>
      </c>
      <c r="K23" s="1" t="s">
        <v>245</v>
      </c>
      <c r="L23" t="str">
        <f t="shared" si="3"/>
        <v>Ancient phoenix/fire</v>
      </c>
      <c r="N23" s="1" t="s">
        <v>246</v>
      </c>
    </row>
    <row r="24">
      <c r="A24" s="1">
        <v>0.0</v>
      </c>
      <c r="B24" s="1" t="s">
        <v>247</v>
      </c>
      <c r="C24" s="6" t="s">
        <v>141</v>
      </c>
      <c r="D24" s="1" t="s">
        <v>248</v>
      </c>
      <c r="E24" s="1" t="s">
        <v>151</v>
      </c>
      <c r="F24" s="1">
        <v>11.0</v>
      </c>
      <c r="G24" s="1" t="s">
        <v>249</v>
      </c>
      <c r="H24" s="1" t="s">
        <v>250</v>
      </c>
      <c r="I24" s="1" t="s">
        <v>251</v>
      </c>
      <c r="J24" s="1" t="s">
        <v>252</v>
      </c>
      <c r="K24" s="1" t="s">
        <v>253</v>
      </c>
      <c r="L24" s="1" t="s">
        <v>254</v>
      </c>
      <c r="N24" s="1" t="s">
        <v>255</v>
      </c>
    </row>
    <row r="25">
      <c r="A25" s="1">
        <v>1.0</v>
      </c>
      <c r="B25" s="1" t="s">
        <v>41</v>
      </c>
      <c r="C25" s="14" t="s">
        <v>256</v>
      </c>
      <c r="D25" s="1" t="s">
        <v>257</v>
      </c>
      <c r="E25" s="1" t="s">
        <v>83</v>
      </c>
      <c r="F25" s="1">
        <v>1.0</v>
      </c>
      <c r="G25" s="1" t="s">
        <v>41</v>
      </c>
      <c r="H25" s="1" t="s">
        <v>258</v>
      </c>
      <c r="I25" s="1" t="s">
        <v>170</v>
      </c>
      <c r="J25" s="1" t="s">
        <v>259</v>
      </c>
      <c r="K25" s="1" t="s">
        <v>260</v>
      </c>
      <c r="L25" t="str">
        <f>CONCAT("Ancient ",K25)</f>
        <v>Ancient palm</v>
      </c>
      <c r="N25" s="1" t="s">
        <v>261</v>
      </c>
    </row>
    <row r="26">
      <c r="A26" s="1">
        <v>13.0</v>
      </c>
      <c r="B26" s="1" t="s">
        <v>53</v>
      </c>
      <c r="C26" s="4" t="s">
        <v>81</v>
      </c>
      <c r="D26" s="1" t="s">
        <v>262</v>
      </c>
      <c r="E26" s="1" t="s">
        <v>83</v>
      </c>
      <c r="F26" s="1">
        <v>7.0</v>
      </c>
      <c r="G26" s="1" t="s">
        <v>263</v>
      </c>
      <c r="H26" s="1" t="s">
        <v>264</v>
      </c>
      <c r="I26" s="1" t="s">
        <v>265</v>
      </c>
      <c r="J26" s="1" t="s">
        <v>176</v>
      </c>
      <c r="K26" s="1" t="s">
        <v>107</v>
      </c>
      <c r="L26" s="1" t="s">
        <v>266</v>
      </c>
      <c r="M26" t="str">
        <f>CONCAT("Ancient ",L26)</f>
        <v>Ancient Instruments</v>
      </c>
      <c r="N26" s="1" t="s">
        <v>267</v>
      </c>
    </row>
    <row r="27">
      <c r="A27" s="1">
        <v>212.0</v>
      </c>
      <c r="B27" s="1" t="s">
        <v>6</v>
      </c>
      <c r="C27" s="4" t="s">
        <v>81</v>
      </c>
      <c r="E27" s="1" t="s">
        <v>234</v>
      </c>
      <c r="F27" s="1">
        <v>0.0</v>
      </c>
      <c r="G27" s="1" t="s">
        <v>268</v>
      </c>
      <c r="H27" s="1" t="s">
        <v>269</v>
      </c>
      <c r="I27" s="1" t="s">
        <v>270</v>
      </c>
      <c r="J27" s="1" t="s">
        <v>271</v>
      </c>
      <c r="K27" s="1" t="s">
        <v>272</v>
      </c>
      <c r="L27" s="1" t="s">
        <v>273</v>
      </c>
      <c r="M27" s="1" t="s">
        <v>274</v>
      </c>
    </row>
    <row r="28">
      <c r="A28" s="1">
        <v>55.0</v>
      </c>
      <c r="B28" s="1" t="s">
        <v>55</v>
      </c>
      <c r="C28" s="1" t="s">
        <v>275</v>
      </c>
      <c r="E28" s="1" t="s">
        <v>124</v>
      </c>
      <c r="F28" s="1">
        <v>8.0</v>
      </c>
      <c r="G28" s="1" t="s">
        <v>125</v>
      </c>
      <c r="H28" s="1" t="s">
        <v>276</v>
      </c>
      <c r="I28" s="1" t="s">
        <v>277</v>
      </c>
      <c r="J28" s="1" t="s">
        <v>278</v>
      </c>
      <c r="K28" s="1" t="s">
        <v>279</v>
      </c>
      <c r="L28" s="1" t="s">
        <v>280</v>
      </c>
      <c r="M28" s="1" t="s">
        <v>281</v>
      </c>
      <c r="N28" s="1" t="s">
        <v>282</v>
      </c>
    </row>
    <row r="29">
      <c r="A29" s="1">
        <v>0.0</v>
      </c>
      <c r="B29" s="1" t="s">
        <v>283</v>
      </c>
      <c r="C29" s="15" t="s">
        <v>284</v>
      </c>
      <c r="D29" s="1" t="s">
        <v>285</v>
      </c>
      <c r="E29" s="1" t="s">
        <v>286</v>
      </c>
      <c r="F29" s="1">
        <v>0.0</v>
      </c>
      <c r="G29" s="1"/>
      <c r="H29" s="1"/>
      <c r="I29" s="1"/>
      <c r="J29" s="1"/>
      <c r="K29" s="1"/>
      <c r="N29" s="1" t="s">
        <v>287</v>
      </c>
    </row>
    <row r="30">
      <c r="A30" s="1">
        <v>547.0</v>
      </c>
      <c r="B30" s="1" t="s">
        <v>288</v>
      </c>
      <c r="C30" s="16" t="s">
        <v>289</v>
      </c>
      <c r="E30" s="1" t="s">
        <v>192</v>
      </c>
      <c r="F30" s="1">
        <v>9.0</v>
      </c>
      <c r="G30" s="1" t="s">
        <v>290</v>
      </c>
      <c r="H30" s="1" t="s">
        <v>7</v>
      </c>
      <c r="I30" s="1" t="s">
        <v>291</v>
      </c>
      <c r="J30" s="1" t="s">
        <v>288</v>
      </c>
      <c r="K30" s="1" t="s">
        <v>292</v>
      </c>
      <c r="L30" t="str">
        <f>CONCAT("Ancient ",K30)</f>
        <v>Ancient Grand Rory</v>
      </c>
      <c r="N30" s="1" t="s">
        <v>293</v>
      </c>
    </row>
    <row r="32">
      <c r="B32" s="1" t="s">
        <v>294</v>
      </c>
    </row>
    <row r="33">
      <c r="D33" s="17" t="s">
        <v>295</v>
      </c>
    </row>
    <row r="34">
      <c r="D34" s="1" t="s">
        <v>2</v>
      </c>
      <c r="E34" s="1" t="s">
        <v>109</v>
      </c>
    </row>
    <row r="35">
      <c r="D35" s="1" t="s">
        <v>3</v>
      </c>
      <c r="E35" s="1" t="s">
        <v>83</v>
      </c>
    </row>
    <row r="36">
      <c r="D36" s="1" t="s">
        <v>4</v>
      </c>
      <c r="E36" s="1" t="s">
        <v>134</v>
      </c>
    </row>
    <row r="37">
      <c r="D37" s="1" t="s">
        <v>5</v>
      </c>
      <c r="E37" s="1" t="s">
        <v>151</v>
      </c>
    </row>
    <row r="38">
      <c r="D38" s="1" t="s">
        <v>6</v>
      </c>
      <c r="E38" s="1" t="s">
        <v>234</v>
      </c>
    </row>
    <row r="39">
      <c r="D39" s="1" t="s">
        <v>7</v>
      </c>
      <c r="E39" s="1" t="s">
        <v>192</v>
      </c>
    </row>
  </sheetData>
  <autoFilter ref="$A$2:$AC$30">
    <sortState ref="A2:AC30">
      <sortCondition ref="F2:F30"/>
    </sortState>
  </autoFilter>
  <mergeCells count="2">
    <mergeCell ref="B1:G1"/>
    <mergeCell ref="H1:M1"/>
  </mergeCells>
  <conditionalFormatting sqref="E1:E1013 C21:C22">
    <cfRule type="beginsWith" dxfId="0" priority="1" operator="beginsWith" text="d">
      <formula>LEFT((E1),LEN("d"))=("d")</formula>
    </cfRule>
  </conditionalFormatting>
  <conditionalFormatting sqref="E1:E1013 C21:C22">
    <cfRule type="beginsWith" dxfId="1" priority="2" operator="beginsWith" text="m">
      <formula>LEFT((E1),LEN("m"))=("m")</formula>
    </cfRule>
  </conditionalFormatting>
  <conditionalFormatting sqref="E1:E1013 C21:C22">
    <cfRule type="beginsWith" dxfId="2" priority="3" operator="beginsWith" text="r">
      <formula>LEFT((E1),LEN("r"))=("r")</formula>
    </cfRule>
  </conditionalFormatting>
  <conditionalFormatting sqref="E1:E1013 C21:C22">
    <cfRule type="beginsWith" dxfId="3" priority="4" operator="beginsWith" text="t">
      <formula>LEFT((E1),LEN("t"))=("t")</formula>
    </cfRule>
  </conditionalFormatting>
  <conditionalFormatting sqref="E1:E1013 C21:C22">
    <cfRule type="beginsWith" dxfId="4" priority="5" operator="beginsWith" text="w">
      <formula>LEFT((E1),LEN("w"))=("w")</formula>
    </cfRule>
  </conditionalFormatting>
  <conditionalFormatting sqref="E1:E1013 C21:C22">
    <cfRule type="beginsWith" dxfId="5" priority="6" operator="beginsWith" text="f">
      <formula>LEFT((E1),LEN("f"))=("f")</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 t="s">
        <v>296</v>
      </c>
      <c r="B1" s="1" t="s">
        <v>297</v>
      </c>
      <c r="C1" s="1" t="s">
        <v>298</v>
      </c>
    </row>
    <row r="2">
      <c r="A2" s="1" t="s">
        <v>299</v>
      </c>
      <c r="B2" s="1" t="s">
        <v>300</v>
      </c>
    </row>
    <row r="3">
      <c r="A3" s="1" t="s">
        <v>301</v>
      </c>
      <c r="B3" s="1" t="s">
        <v>41</v>
      </c>
      <c r="C3" t="str">
        <f t="shared" ref="C3:C5" si="1">CONCATENATE(B3,", ",C2)</f>
        <v>Grass, </v>
      </c>
    </row>
    <row r="4">
      <c r="A4" s="1" t="s">
        <v>302</v>
      </c>
      <c r="B4" s="1" t="s">
        <v>303</v>
      </c>
      <c r="C4" t="str">
        <f t="shared" si="1"/>
        <v>Bamboo, Grass, </v>
      </c>
    </row>
    <row r="5">
      <c r="A5" s="1" t="s">
        <v>304</v>
      </c>
      <c r="B5" s="1" t="s">
        <v>47</v>
      </c>
      <c r="C5" t="str">
        <f t="shared" si="1"/>
        <v>Wood, Bamboo, Grass, </v>
      </c>
    </row>
    <row r="7">
      <c r="A7" s="1" t="s">
        <v>305</v>
      </c>
      <c r="B7" s="1" t="s">
        <v>300</v>
      </c>
    </row>
    <row r="8">
      <c r="A8" s="1" t="s">
        <v>306</v>
      </c>
      <c r="B8" s="1" t="s">
        <v>169</v>
      </c>
      <c r="C8" t="str">
        <f t="shared" ref="C8:C9" si="2">CONCATENATE(B8,", ",C7)</f>
        <v>fur, </v>
      </c>
    </row>
    <row r="9">
      <c r="A9" s="1" t="s">
        <v>307</v>
      </c>
      <c r="B9" s="1" t="s">
        <v>308</v>
      </c>
      <c r="C9" t="str">
        <f t="shared" si="2"/>
        <v>Bird, fur, </v>
      </c>
    </row>
    <row r="10">
      <c r="A10" s="1" t="s">
        <v>305</v>
      </c>
      <c r="B10" s="1" t="s">
        <v>300</v>
      </c>
    </row>
    <row r="11">
      <c r="A11" s="1" t="s">
        <v>309</v>
      </c>
      <c r="B11" s="1" t="s">
        <v>41</v>
      </c>
      <c r="C11" t="str">
        <f t="shared" ref="C11:C13" si="3">CONCATENATE(B11,", ",C10)</f>
        <v>Grass, </v>
      </c>
    </row>
    <row r="12">
      <c r="A12" s="1" t="s">
        <v>310</v>
      </c>
      <c r="B12" s="1" t="s">
        <v>311</v>
      </c>
      <c r="C12" t="str">
        <f t="shared" si="3"/>
        <v>Wood|Bamboo, Grass, </v>
      </c>
    </row>
    <row r="13">
      <c r="A13" s="1" t="s">
        <v>312</v>
      </c>
      <c r="B13" s="1" t="s">
        <v>308</v>
      </c>
      <c r="C13" t="str">
        <f t="shared" si="3"/>
        <v>Bird, Wood|Bamboo, Grass, </v>
      </c>
    </row>
    <row r="15">
      <c r="A15" s="1" t="s">
        <v>128</v>
      </c>
      <c r="B15" s="1" t="s">
        <v>300</v>
      </c>
    </row>
    <row r="16">
      <c r="A16" s="1" t="s">
        <v>313</v>
      </c>
      <c r="B16" s="1" t="s">
        <v>51</v>
      </c>
      <c r="C16" t="str">
        <f t="shared" ref="C16:C18" si="4">CONCATENATE(B16,", ",C15)</f>
        <v>Rock, </v>
      </c>
    </row>
    <row r="17">
      <c r="A17" s="1" t="s">
        <v>314</v>
      </c>
      <c r="B17" s="1" t="s">
        <v>308</v>
      </c>
      <c r="C17" t="str">
        <f t="shared" si="4"/>
        <v>Bird, Rock, </v>
      </c>
    </row>
    <row r="18">
      <c r="A18" s="1" t="s">
        <v>315</v>
      </c>
      <c r="B18" s="1" t="s">
        <v>316</v>
      </c>
      <c r="C18" t="str">
        <f t="shared" si="4"/>
        <v>Brick, Bird, Rock, </v>
      </c>
    </row>
    <row r="20">
      <c r="A20" s="1" t="s">
        <v>317</v>
      </c>
      <c r="B20" s="1" t="s">
        <v>300</v>
      </c>
    </row>
    <row r="21">
      <c r="A21" s="1" t="s">
        <v>318</v>
      </c>
      <c r="B21" s="1" t="s">
        <v>167</v>
      </c>
      <c r="C21" t="str">
        <f t="shared" ref="C21:C22" si="5">CONCATENATE(B21,", ",C20)</f>
        <v>Fur, </v>
      </c>
    </row>
    <row r="22">
      <c r="A22" s="1" t="s">
        <v>319</v>
      </c>
      <c r="B22" s="1" t="s">
        <v>45</v>
      </c>
      <c r="C22" t="str">
        <f t="shared" si="5"/>
        <v>Scales, Fur, </v>
      </c>
    </row>
    <row r="23">
      <c r="A23" s="1" t="s">
        <v>317</v>
      </c>
      <c r="B23" s="1" t="s">
        <v>300</v>
      </c>
    </row>
    <row r="24">
      <c r="A24" s="1" t="s">
        <v>320</v>
      </c>
      <c r="B24" s="1" t="s">
        <v>41</v>
      </c>
      <c r="C24" t="str">
        <f t="shared" ref="C24:C25" si="6">CONCATENATE(B24,", ",C23)</f>
        <v>Grass, </v>
      </c>
    </row>
    <row r="25">
      <c r="A25" s="1" t="s">
        <v>321</v>
      </c>
      <c r="B25" s="1" t="s">
        <v>308</v>
      </c>
      <c r="C25" t="str">
        <f t="shared" si="6"/>
        <v>Bird, Grass, </v>
      </c>
    </row>
    <row r="26">
      <c r="A26" s="1" t="s">
        <v>317</v>
      </c>
      <c r="B26" s="1" t="s">
        <v>300</v>
      </c>
    </row>
    <row r="27">
      <c r="A27" s="1" t="s">
        <v>322</v>
      </c>
      <c r="B27" s="1" t="s">
        <v>100</v>
      </c>
      <c r="C27" t="str">
        <f t="shared" ref="C27:C28" si="7">CONCATENATE(B27,", ",C26)</f>
        <v>scales, </v>
      </c>
    </row>
    <row r="28">
      <c r="A28" s="1" t="s">
        <v>323</v>
      </c>
      <c r="B28" s="1" t="s">
        <v>324</v>
      </c>
      <c r="C28" t="str">
        <f t="shared" si="7"/>
        <v>Bronze, scales, </v>
      </c>
    </row>
    <row r="29">
      <c r="A29" s="1" t="s">
        <v>317</v>
      </c>
      <c r="B29" s="1" t="s">
        <v>300</v>
      </c>
    </row>
    <row r="30">
      <c r="A30" s="1" t="s">
        <v>325</v>
      </c>
      <c r="B30" s="1" t="s">
        <v>100</v>
      </c>
      <c r="C30" t="str">
        <f t="shared" ref="C30:C31" si="8">CONCATENATE(B30,", ",C29)</f>
        <v>scales, </v>
      </c>
    </row>
    <row r="31">
      <c r="A31" s="1" t="s">
        <v>326</v>
      </c>
      <c r="B31" s="1" t="s">
        <v>324</v>
      </c>
      <c r="C31" t="str">
        <f t="shared" si="8"/>
        <v>Bronze, scales, </v>
      </c>
    </row>
    <row r="32">
      <c r="A32" s="1" t="s">
        <v>327</v>
      </c>
      <c r="B32" s="1" t="s">
        <v>300</v>
      </c>
    </row>
    <row r="33">
      <c r="A33" s="1" t="s">
        <v>328</v>
      </c>
      <c r="B33" s="1" t="s">
        <v>100</v>
      </c>
      <c r="C33" t="str">
        <f t="shared" ref="C33:C34" si="9">CONCATENATE(B33,", ",C32)</f>
        <v>scales, </v>
      </c>
    </row>
    <row r="34">
      <c r="A34" s="1" t="s">
        <v>329</v>
      </c>
      <c r="B34" s="1" t="s">
        <v>231</v>
      </c>
      <c r="C34" t="str">
        <f t="shared" si="9"/>
        <v>Squid, scales, </v>
      </c>
    </row>
    <row r="36">
      <c r="A36" s="1" t="s">
        <v>330</v>
      </c>
      <c r="B36" s="1" t="s">
        <v>300</v>
      </c>
    </row>
    <row r="37">
      <c r="A37" s="1" t="s">
        <v>331</v>
      </c>
      <c r="B37" s="1" t="s">
        <v>231</v>
      </c>
      <c r="C37" t="str">
        <f t="shared" ref="C37:C38" si="10">CONCATENATE(B37,", ",C36)</f>
        <v>Squid, </v>
      </c>
    </row>
    <row r="38">
      <c r="A38" s="1" t="s">
        <v>332</v>
      </c>
      <c r="B38" s="1" t="s">
        <v>333</v>
      </c>
      <c r="C38" t="str">
        <f t="shared" si="10"/>
        <v>Special, Squid, </v>
      </c>
    </row>
    <row r="40">
      <c r="A40" s="1" t="s">
        <v>334</v>
      </c>
      <c r="B40" s="1" t="s">
        <v>300</v>
      </c>
    </row>
    <row r="41">
      <c r="A41" s="1" t="s">
        <v>335</v>
      </c>
      <c r="B41" s="1" t="s">
        <v>47</v>
      </c>
      <c r="C41" t="str">
        <f t="shared" ref="C41:C43" si="11">CONCATENATE(B41,", ",C40)</f>
        <v>Wood, </v>
      </c>
    </row>
    <row r="42">
      <c r="A42" s="1" t="s">
        <v>336</v>
      </c>
      <c r="B42" s="1" t="s">
        <v>167</v>
      </c>
      <c r="C42" t="str">
        <f t="shared" si="11"/>
        <v>Fur, Wood, </v>
      </c>
    </row>
    <row r="43">
      <c r="A43" s="1" t="s">
        <v>337</v>
      </c>
      <c r="B43" s="1" t="s">
        <v>333</v>
      </c>
      <c r="C43" t="str">
        <f t="shared" si="11"/>
        <v>Special, Fur, Wood, </v>
      </c>
    </row>
    <row r="45">
      <c r="A45" s="1" t="s">
        <v>338</v>
      </c>
      <c r="B45" s="1" t="s">
        <v>300</v>
      </c>
      <c r="C45" s="1" t="s">
        <v>47</v>
      </c>
    </row>
    <row r="46">
      <c r="A46" s="1" t="s">
        <v>339</v>
      </c>
      <c r="B46" s="1" t="s">
        <v>324</v>
      </c>
      <c r="C46" t="str">
        <f t="shared" ref="C46:C47" si="12">CONCATENATE(B46,", ",C45)</f>
        <v>Bronze, Wood</v>
      </c>
    </row>
    <row r="47">
      <c r="A47" s="1" t="s">
        <v>340</v>
      </c>
      <c r="B47" s="1" t="s">
        <v>308</v>
      </c>
      <c r="C47" t="str">
        <f t="shared" si="12"/>
        <v>Bird, Bronze, Wood</v>
      </c>
    </row>
    <row r="49">
      <c r="A49" s="1" t="s">
        <v>341</v>
      </c>
      <c r="B49" s="1" t="s">
        <v>300</v>
      </c>
    </row>
    <row r="50">
      <c r="A50" s="1" t="s">
        <v>342</v>
      </c>
      <c r="B50" s="1" t="s">
        <v>47</v>
      </c>
      <c r="C50" t="str">
        <f t="shared" ref="C50:C52" si="13">CONCATENATE(B50,", ",C49)</f>
        <v>Wood, </v>
      </c>
    </row>
    <row r="51">
      <c r="A51" s="1" t="s">
        <v>343</v>
      </c>
      <c r="B51" s="1" t="s">
        <v>344</v>
      </c>
      <c r="C51" t="str">
        <f t="shared" si="13"/>
        <v>Stone, Wood, </v>
      </c>
    </row>
    <row r="52">
      <c r="A52" s="1" t="s">
        <v>345</v>
      </c>
      <c r="B52" s="1" t="s">
        <v>346</v>
      </c>
      <c r="C52" t="str">
        <f t="shared" si="13"/>
        <v>Iron, Stone, Wood, </v>
      </c>
    </row>
    <row r="54">
      <c r="A54" s="1" t="s">
        <v>50</v>
      </c>
      <c r="B54" s="1" t="s">
        <v>300</v>
      </c>
    </row>
    <row r="55">
      <c r="A55" s="1" t="s">
        <v>347</v>
      </c>
      <c r="B55" s="1" t="s">
        <v>344</v>
      </c>
      <c r="C55" t="str">
        <f t="shared" ref="C55:C57" si="14">CONCATENATE(B55,", ",C54)</f>
        <v>Stone, </v>
      </c>
    </row>
    <row r="56">
      <c r="A56" s="1" t="s">
        <v>348</v>
      </c>
      <c r="B56" s="1" t="s">
        <v>47</v>
      </c>
      <c r="C56" t="str">
        <f t="shared" si="14"/>
        <v>Wood, Stone, </v>
      </c>
    </row>
    <row r="57">
      <c r="A57" s="1" t="s">
        <v>349</v>
      </c>
      <c r="B57" s="1" t="s">
        <v>346</v>
      </c>
      <c r="C57" t="str">
        <f t="shared" si="14"/>
        <v>Iron, Wood, Stone, </v>
      </c>
    </row>
    <row r="58">
      <c r="A58" s="1" t="s">
        <v>50</v>
      </c>
      <c r="B58" s="1" t="s">
        <v>300</v>
      </c>
    </row>
    <row r="59">
      <c r="A59" s="1" t="s">
        <v>350</v>
      </c>
      <c r="B59" s="1" t="s">
        <v>41</v>
      </c>
      <c r="C59" t="str">
        <f t="shared" ref="C59:C61" si="15">CONCATENATE(B59,", ",C58)</f>
        <v>Grass, </v>
      </c>
    </row>
    <row r="60">
      <c r="A60" s="1" t="s">
        <v>351</v>
      </c>
      <c r="B60" s="1" t="s">
        <v>106</v>
      </c>
      <c r="C60" t="str">
        <f t="shared" si="15"/>
        <v>Blade Fish, Grass, </v>
      </c>
    </row>
    <row r="61">
      <c r="A61" s="1" t="s">
        <v>352</v>
      </c>
      <c r="B61" s="1" t="s">
        <v>303</v>
      </c>
      <c r="C61" t="str">
        <f t="shared" si="15"/>
        <v>Bamboo, Blade Fish, Grass, </v>
      </c>
    </row>
    <row r="63">
      <c r="A63" s="1" t="s">
        <v>175</v>
      </c>
      <c r="B63" s="1" t="s">
        <v>300</v>
      </c>
    </row>
    <row r="64">
      <c r="A64" s="1" t="s">
        <v>353</v>
      </c>
      <c r="B64" s="1" t="s">
        <v>311</v>
      </c>
      <c r="C64" t="str">
        <f t="shared" ref="C64:C65" si="16">CONCATENATE(B64,", ",C63)</f>
        <v>Wood|Bamboo, </v>
      </c>
    </row>
    <row r="65">
      <c r="A65" s="1" t="s">
        <v>354</v>
      </c>
      <c r="B65" s="1" t="s">
        <v>333</v>
      </c>
      <c r="C65" t="str">
        <f t="shared" si="16"/>
        <v>Special, Wood|Bamboo, </v>
      </c>
    </row>
    <row r="67">
      <c r="A67" s="1" t="s">
        <v>355</v>
      </c>
      <c r="B67" s="1" t="s">
        <v>300</v>
      </c>
    </row>
    <row r="68">
      <c r="A68" s="1" t="s">
        <v>356</v>
      </c>
      <c r="B68" s="1" t="s">
        <v>357</v>
      </c>
      <c r="C68" t="str">
        <f t="shared" ref="C68:C69" si="17">CONCATENATE(B68,", ",C67)</f>
        <v>Bird, Grass, </v>
      </c>
    </row>
    <row r="69">
      <c r="A69" s="1" t="s">
        <v>358</v>
      </c>
      <c r="B69" s="1" t="s">
        <v>359</v>
      </c>
      <c r="C69" t="str">
        <f t="shared" si="17"/>
        <v>Stone, Scales, Bird, Grass, </v>
      </c>
    </row>
    <row r="70">
      <c r="A70" s="1" t="s">
        <v>355</v>
      </c>
      <c r="B70" s="1" t="s">
        <v>300</v>
      </c>
    </row>
    <row r="71">
      <c r="A71" s="1" t="s">
        <v>356</v>
      </c>
      <c r="B71" s="1" t="s">
        <v>357</v>
      </c>
      <c r="C71" t="str">
        <f t="shared" ref="C71:C72" si="18">CONCATENATE(B71,", ",C70)</f>
        <v>Bird, Grass, </v>
      </c>
    </row>
    <row r="72">
      <c r="A72" s="1" t="s">
        <v>360</v>
      </c>
      <c r="B72" s="1" t="s">
        <v>361</v>
      </c>
      <c r="C72" t="str">
        <f t="shared" si="18"/>
        <v>Wood, fur, Bird, Grass, </v>
      </c>
    </row>
    <row r="73">
      <c r="A73" s="1" t="s">
        <v>362</v>
      </c>
      <c r="B73" s="1" t="s">
        <v>363</v>
      </c>
      <c r="C73" t="str">
        <f>CONCATENATE(B73,", ",C72,B69)</f>
        <v>Ancient Diamond, Ancient Metal, Wood, fur, Bird, Grass, Stone, Scales</v>
      </c>
    </row>
    <row r="75">
      <c r="A75" s="1" t="s">
        <v>364</v>
      </c>
      <c r="B75" s="1" t="s">
        <v>300</v>
      </c>
    </row>
    <row r="76">
      <c r="A76" s="1" t="s">
        <v>365</v>
      </c>
      <c r="B76" s="1" t="s">
        <v>303</v>
      </c>
      <c r="C76" t="str">
        <f t="shared" ref="C76:C77" si="19">CONCATENATE(B76,", ",C75)</f>
        <v>Bamboo, </v>
      </c>
    </row>
    <row r="77">
      <c r="A77" s="1" t="s">
        <v>366</v>
      </c>
      <c r="B77" s="1" t="s">
        <v>47</v>
      </c>
      <c r="C77" t="str">
        <f t="shared" si="19"/>
        <v>Wood, Bamboo, </v>
      </c>
    </row>
    <row r="78">
      <c r="A78" s="1" t="s">
        <v>364</v>
      </c>
      <c r="B78" s="1" t="s">
        <v>300</v>
      </c>
    </row>
    <row r="79">
      <c r="A79" s="1" t="s">
        <v>367</v>
      </c>
      <c r="B79" s="1" t="s">
        <v>167</v>
      </c>
      <c r="C79" t="str">
        <f t="shared" ref="C79:C80" si="20">CONCATENATE(B79,", ",C78)</f>
        <v>Fur, </v>
      </c>
    </row>
    <row r="80">
      <c r="A80" s="1" t="s">
        <v>368</v>
      </c>
      <c r="B80" s="1" t="s">
        <v>369</v>
      </c>
      <c r="C80" t="str">
        <f t="shared" si="20"/>
        <v>Oak, Fur, </v>
      </c>
    </row>
    <row r="81">
      <c r="A81" s="1" t="s">
        <v>364</v>
      </c>
      <c r="B81" s="1" t="s">
        <v>300</v>
      </c>
    </row>
    <row r="82">
      <c r="A82" s="1" t="s">
        <v>370</v>
      </c>
      <c r="B82" s="1" t="s">
        <v>45</v>
      </c>
      <c r="C82" t="str">
        <f t="shared" ref="C82:C83" si="21">CONCATENATE(B82,", ",C81)</f>
        <v>Scales, </v>
      </c>
    </row>
    <row r="83">
      <c r="A83" s="1" t="s">
        <v>371</v>
      </c>
      <c r="B83" s="1" t="s">
        <v>372</v>
      </c>
      <c r="C83" t="str">
        <f t="shared" si="21"/>
        <v>Ancient Palm, Scales, </v>
      </c>
    </row>
    <row r="84">
      <c r="A84" s="1" t="s">
        <v>364</v>
      </c>
      <c r="B84" s="1" t="s">
        <v>300</v>
      </c>
    </row>
    <row r="85">
      <c r="A85" s="1" t="s">
        <v>373</v>
      </c>
      <c r="B85" s="1" t="s">
        <v>324</v>
      </c>
      <c r="C85" t="str">
        <f t="shared" ref="C85:C86" si="22">CONCATENATE(B85,", ",C84)</f>
        <v>Bronze, </v>
      </c>
    </row>
    <row r="86">
      <c r="A86" s="1" t="s">
        <v>374</v>
      </c>
      <c r="B86" s="1" t="s">
        <v>375</v>
      </c>
      <c r="C86" t="str">
        <f t="shared" si="22"/>
        <v>Ancient Diamond, Bronze, </v>
      </c>
    </row>
    <row r="87">
      <c r="A87" s="1" t="s">
        <v>364</v>
      </c>
      <c r="B87" s="1" t="s">
        <v>300</v>
      </c>
    </row>
    <row r="88">
      <c r="A88" s="1" t="s">
        <v>376</v>
      </c>
      <c r="B88" s="1" t="s">
        <v>308</v>
      </c>
      <c r="C88" t="str">
        <f t="shared" ref="C88:C89" si="23">CONCATENATE(B88,", ",C87)</f>
        <v>Bird, </v>
      </c>
    </row>
    <row r="89">
      <c r="A89" s="1" t="s">
        <v>377</v>
      </c>
      <c r="B89" s="1" t="s">
        <v>333</v>
      </c>
      <c r="C89" t="str">
        <f t="shared" si="23"/>
        <v>Special, Bird, </v>
      </c>
    </row>
    <row r="90">
      <c r="A90" s="1" t="s">
        <v>364</v>
      </c>
      <c r="B90" s="1" t="s">
        <v>300</v>
      </c>
    </row>
    <row r="91">
      <c r="A91" s="1" t="s">
        <v>378</v>
      </c>
      <c r="B91" s="1" t="s">
        <v>51</v>
      </c>
      <c r="C91" t="str">
        <f t="shared" ref="C91:C92" si="24">CONCATENATE(B91,", ",C90)</f>
        <v>Rock, </v>
      </c>
    </row>
    <row r="92">
      <c r="A92" s="1" t="s">
        <v>379</v>
      </c>
      <c r="B92" s="1" t="s">
        <v>41</v>
      </c>
      <c r="C92" t="str">
        <f t="shared" si="24"/>
        <v>Grass, Rock, </v>
      </c>
    </row>
    <row r="93">
      <c r="A93" s="1" t="s">
        <v>380</v>
      </c>
      <c r="C93" t="str">
        <f t="shared" ref="C93:C94" si="25">CONCATENATE(C76,C79,C82,C85,C88,C91)</f>
        <v>Bamboo, Fur, Scales, Bronze, Bird, Rock, </v>
      </c>
    </row>
    <row r="94">
      <c r="A94" s="1" t="s">
        <v>381</v>
      </c>
      <c r="C94" t="str">
        <f t="shared" si="25"/>
        <v>Wood, Bamboo, Oak, Fur, Ancient Palm, Scales, Ancient Diamond, Bronze, Special, Bird, Grass, Rock, </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2.63"/>
    <col customWidth="1" min="2" max="31" width="2.75"/>
  </cols>
  <sheetData>
    <row r="1" ht="76.5" customHeight="1">
      <c r="A1" s="18" t="s">
        <v>382</v>
      </c>
      <c r="B1" s="18" t="s">
        <v>383</v>
      </c>
      <c r="C1" s="19" t="s">
        <v>384</v>
      </c>
      <c r="D1" s="18" t="s">
        <v>385</v>
      </c>
      <c r="E1" s="2" t="s">
        <v>2</v>
      </c>
      <c r="F1" s="2" t="s">
        <v>3</v>
      </c>
      <c r="G1" s="2" t="s">
        <v>4</v>
      </c>
      <c r="H1" s="2" t="s">
        <v>5</v>
      </c>
      <c r="I1" s="2" t="s">
        <v>6</v>
      </c>
      <c r="J1" s="2" t="s">
        <v>7</v>
      </c>
      <c r="K1" s="18"/>
      <c r="L1" s="18" t="s">
        <v>383</v>
      </c>
      <c r="M1" s="19" t="s">
        <v>384</v>
      </c>
      <c r="N1" s="18" t="s">
        <v>385</v>
      </c>
      <c r="O1" s="2" t="s">
        <v>2</v>
      </c>
      <c r="P1" s="2" t="s">
        <v>3</v>
      </c>
      <c r="Q1" s="2" t="s">
        <v>4</v>
      </c>
      <c r="R1" s="2" t="s">
        <v>5</v>
      </c>
      <c r="S1" s="2" t="s">
        <v>6</v>
      </c>
      <c r="T1" s="2" t="s">
        <v>7</v>
      </c>
      <c r="U1" s="18"/>
      <c r="V1" s="18" t="s">
        <v>383</v>
      </c>
      <c r="W1" s="19" t="s">
        <v>384</v>
      </c>
      <c r="X1" s="18" t="s">
        <v>385</v>
      </c>
      <c r="Y1" s="2" t="s">
        <v>2</v>
      </c>
      <c r="Z1" s="2" t="s">
        <v>3</v>
      </c>
      <c r="AA1" s="2" t="s">
        <v>4</v>
      </c>
      <c r="AB1" s="2" t="s">
        <v>5</v>
      </c>
      <c r="AC1" s="2" t="s">
        <v>6</v>
      </c>
      <c r="AD1" s="2" t="s">
        <v>7</v>
      </c>
      <c r="AE1" s="2"/>
    </row>
    <row r="2">
      <c r="A2" s="17" t="s">
        <v>386</v>
      </c>
      <c r="B2" s="20"/>
      <c r="C2" s="20"/>
      <c r="D2" s="20"/>
      <c r="E2" s="21">
        <f t="shared" ref="E2:J2" si="1">sum(E3:E8)</f>
        <v>1</v>
      </c>
      <c r="F2" s="21">
        <f t="shared" si="1"/>
        <v>3</v>
      </c>
      <c r="G2" s="21">
        <f t="shared" si="1"/>
        <v>2</v>
      </c>
      <c r="H2" s="21">
        <f t="shared" si="1"/>
        <v>0</v>
      </c>
      <c r="I2" s="21">
        <f t="shared" si="1"/>
        <v>2</v>
      </c>
      <c r="J2" s="21">
        <f t="shared" si="1"/>
        <v>0</v>
      </c>
      <c r="K2" s="20"/>
      <c r="L2" s="20"/>
      <c r="M2" s="20"/>
      <c r="N2" s="20"/>
      <c r="O2" s="22"/>
      <c r="P2" s="22"/>
      <c r="Q2" s="22"/>
      <c r="R2" s="22"/>
      <c r="S2" s="22"/>
      <c r="T2" s="22"/>
      <c r="U2" s="20"/>
      <c r="V2" s="20"/>
      <c r="W2" s="20"/>
      <c r="X2" s="20"/>
      <c r="Y2" s="22"/>
      <c r="Z2" s="22"/>
      <c r="AA2" s="22"/>
      <c r="AB2" s="22"/>
      <c r="AC2" s="22"/>
      <c r="AD2" s="22"/>
      <c r="AE2" s="22"/>
    </row>
    <row r="3">
      <c r="A3" s="1" t="s">
        <v>2</v>
      </c>
      <c r="B3" s="20">
        <v>2.0</v>
      </c>
      <c r="C3" s="20">
        <v>0.0</v>
      </c>
      <c r="D3" s="20">
        <v>0.0</v>
      </c>
      <c r="E3" s="23" t="s">
        <v>387</v>
      </c>
      <c r="F3" s="24">
        <v>2.0</v>
      </c>
      <c r="G3" s="24">
        <v>2.0</v>
      </c>
      <c r="H3" s="24">
        <v>-1.0</v>
      </c>
      <c r="I3" s="25"/>
      <c r="J3" s="26"/>
      <c r="K3" s="20"/>
      <c r="L3" s="20"/>
      <c r="M3" s="20"/>
      <c r="N3" s="20"/>
      <c r="O3" s="20"/>
      <c r="P3" s="20"/>
      <c r="Q3" s="22"/>
      <c r="R3" s="22"/>
      <c r="S3" s="22"/>
      <c r="T3" s="22"/>
      <c r="U3" s="20"/>
      <c r="V3" s="20">
        <f t="shared" ref="V3:V8" si="2">sum(B3,B11,L11,V11,V19)</f>
        <v>8</v>
      </c>
      <c r="W3" s="20"/>
      <c r="X3" s="20"/>
      <c r="Y3" s="20"/>
      <c r="Z3" s="20"/>
      <c r="AA3" s="22"/>
      <c r="AB3" s="22"/>
      <c r="AC3" s="22"/>
      <c r="AD3" s="22"/>
      <c r="AE3" s="22"/>
    </row>
    <row r="4">
      <c r="A4" s="1" t="s">
        <v>3</v>
      </c>
      <c r="B4" s="20">
        <v>2.0</v>
      </c>
      <c r="C4" s="20">
        <v>0.0</v>
      </c>
      <c r="D4" s="20">
        <v>0.0</v>
      </c>
      <c r="E4" s="27"/>
      <c r="F4" s="28">
        <v>2.0</v>
      </c>
      <c r="G4" s="22"/>
      <c r="H4" s="20">
        <v>-1.0</v>
      </c>
      <c r="I4" s="20">
        <v>2.0</v>
      </c>
      <c r="J4" s="29"/>
      <c r="K4" s="20"/>
      <c r="L4" s="20"/>
      <c r="M4" s="20"/>
      <c r="N4" s="20"/>
      <c r="O4" s="20"/>
      <c r="P4" s="20"/>
      <c r="Q4" s="22"/>
      <c r="R4" s="22"/>
      <c r="S4" s="22"/>
      <c r="T4" s="22"/>
      <c r="U4" s="20"/>
      <c r="V4" s="20">
        <f t="shared" si="2"/>
        <v>8</v>
      </c>
      <c r="W4" s="20"/>
      <c r="X4" s="20"/>
      <c r="Y4" s="20"/>
      <c r="Z4" s="20"/>
      <c r="AA4" s="22"/>
      <c r="AB4" s="22"/>
      <c r="AC4" s="22"/>
      <c r="AD4" s="22"/>
      <c r="AE4" s="22"/>
    </row>
    <row r="5">
      <c r="A5" s="1" t="s">
        <v>4</v>
      </c>
      <c r="B5" s="20">
        <v>2.0</v>
      </c>
      <c r="C5" s="20">
        <v>0.0</v>
      </c>
      <c r="D5" s="20">
        <v>0.0</v>
      </c>
      <c r="E5" s="30"/>
      <c r="F5" s="20">
        <v>-1.0</v>
      </c>
      <c r="G5" s="28">
        <v>-1.0</v>
      </c>
      <c r="H5" s="20">
        <v>2.0</v>
      </c>
      <c r="I5" s="22"/>
      <c r="J5" s="29"/>
      <c r="K5" s="20"/>
      <c r="L5" s="20"/>
      <c r="M5" s="20"/>
      <c r="N5" s="20"/>
      <c r="O5" s="22"/>
      <c r="P5" s="20"/>
      <c r="Q5" s="20"/>
      <c r="R5" s="22"/>
      <c r="S5" s="22"/>
      <c r="T5" s="22"/>
      <c r="U5" s="20"/>
      <c r="V5" s="20">
        <f t="shared" si="2"/>
        <v>8</v>
      </c>
      <c r="W5" s="20"/>
      <c r="X5" s="20"/>
      <c r="Y5" s="22"/>
      <c r="Z5" s="20"/>
      <c r="AA5" s="20"/>
      <c r="AB5" s="22"/>
      <c r="AC5" s="22"/>
      <c r="AD5" s="22"/>
      <c r="AE5" s="22"/>
    </row>
    <row r="6">
      <c r="A6" s="1" t="s">
        <v>5</v>
      </c>
      <c r="B6" s="20">
        <v>0.0</v>
      </c>
      <c r="C6" s="20">
        <v>0.0</v>
      </c>
      <c r="D6" s="20">
        <v>0.0</v>
      </c>
      <c r="E6" s="30"/>
      <c r="F6" s="22"/>
      <c r="G6" s="20">
        <v>2.0</v>
      </c>
      <c r="H6" s="28" t="s">
        <v>387</v>
      </c>
      <c r="I6" s="20"/>
      <c r="J6" s="31"/>
      <c r="K6" s="20"/>
      <c r="L6" s="20"/>
      <c r="M6" s="20"/>
      <c r="N6" s="20"/>
      <c r="O6" s="22"/>
      <c r="P6" s="22"/>
      <c r="Q6" s="22"/>
      <c r="R6" s="20"/>
      <c r="S6" s="20"/>
      <c r="T6" s="22"/>
      <c r="U6" s="20"/>
      <c r="V6" s="20">
        <f t="shared" si="2"/>
        <v>6</v>
      </c>
      <c r="W6" s="20"/>
      <c r="X6" s="20"/>
      <c r="Y6" s="22"/>
      <c r="Z6" s="22"/>
      <c r="AA6" s="22"/>
      <c r="AB6" s="20"/>
      <c r="AC6" s="20"/>
      <c r="AD6" s="22"/>
      <c r="AE6" s="22"/>
    </row>
    <row r="7">
      <c r="A7" s="1" t="s">
        <v>6</v>
      </c>
      <c r="B7" s="20">
        <v>1.0</v>
      </c>
      <c r="C7" s="20">
        <v>0.0</v>
      </c>
      <c r="D7" s="20">
        <v>0.0</v>
      </c>
      <c r="E7" s="27">
        <v>1.0</v>
      </c>
      <c r="F7" s="22"/>
      <c r="G7" s="20">
        <v>-1.0</v>
      </c>
      <c r="H7" s="20"/>
      <c r="I7" s="28" t="s">
        <v>387</v>
      </c>
      <c r="J7" s="29"/>
      <c r="K7" s="20"/>
      <c r="L7" s="20"/>
      <c r="M7" s="20"/>
      <c r="N7" s="20"/>
      <c r="O7" s="22"/>
      <c r="P7" s="22"/>
      <c r="Q7" s="22"/>
      <c r="R7" s="20"/>
      <c r="S7" s="20"/>
      <c r="T7" s="22"/>
      <c r="U7" s="20"/>
      <c r="V7" s="20">
        <f t="shared" si="2"/>
        <v>6</v>
      </c>
      <c r="W7" s="20"/>
      <c r="X7" s="20"/>
      <c r="Y7" s="22"/>
      <c r="Z7" s="22"/>
      <c r="AA7" s="22"/>
      <c r="AB7" s="20"/>
      <c r="AC7" s="20"/>
      <c r="AD7" s="22"/>
      <c r="AE7" s="22"/>
    </row>
    <row r="8">
      <c r="A8" s="1" t="s">
        <v>7</v>
      </c>
      <c r="B8" s="20">
        <v>0.0</v>
      </c>
      <c r="C8" s="20">
        <v>0.0</v>
      </c>
      <c r="D8" s="20">
        <v>0.0</v>
      </c>
      <c r="E8" s="32"/>
      <c r="F8" s="33"/>
      <c r="G8" s="33"/>
      <c r="H8" s="33"/>
      <c r="I8" s="33"/>
      <c r="J8" s="34" t="s">
        <v>387</v>
      </c>
      <c r="K8" s="20"/>
      <c r="L8" s="20"/>
      <c r="M8" s="20"/>
      <c r="N8" s="20"/>
      <c r="O8" s="22"/>
      <c r="P8" s="22"/>
      <c r="Q8" s="22"/>
      <c r="R8" s="22"/>
      <c r="S8" s="22"/>
      <c r="T8" s="20"/>
      <c r="U8" s="20"/>
      <c r="V8" s="20">
        <f t="shared" si="2"/>
        <v>6</v>
      </c>
      <c r="W8" s="20"/>
      <c r="X8" s="20"/>
      <c r="Y8" s="22"/>
      <c r="Z8" s="22"/>
      <c r="AA8" s="22"/>
      <c r="AB8" s="22"/>
      <c r="AC8" s="22"/>
      <c r="AD8" s="20"/>
      <c r="AE8" s="20"/>
    </row>
    <row r="9">
      <c r="B9" s="20"/>
      <c r="C9" s="20"/>
      <c r="D9" s="20"/>
      <c r="E9" s="22"/>
      <c r="F9" s="22"/>
      <c r="G9" s="22"/>
      <c r="H9" s="22"/>
      <c r="I9" s="20"/>
      <c r="J9" s="20"/>
      <c r="K9" s="20"/>
      <c r="L9" s="20"/>
      <c r="M9" s="20"/>
      <c r="N9" s="20"/>
      <c r="O9" s="22"/>
      <c r="P9" s="22"/>
      <c r="Q9" s="22"/>
      <c r="R9" s="22"/>
      <c r="S9" s="20"/>
      <c r="T9" s="20"/>
      <c r="U9" s="20"/>
      <c r="V9" s="20"/>
      <c r="W9" s="20"/>
      <c r="X9" s="20"/>
      <c r="Y9" s="22"/>
      <c r="Z9" s="22"/>
      <c r="AA9" s="22"/>
      <c r="AB9" s="22"/>
      <c r="AC9" s="20"/>
      <c r="AD9" s="20"/>
      <c r="AE9" s="20"/>
    </row>
    <row r="10">
      <c r="A10" s="17" t="s">
        <v>388</v>
      </c>
      <c r="B10" s="20"/>
      <c r="C10" s="20"/>
      <c r="D10" s="20"/>
      <c r="E10" s="21">
        <f t="shared" ref="E10:J10" si="3">sum(E11:E16)</f>
        <v>0</v>
      </c>
      <c r="F10" s="21">
        <f t="shared" si="3"/>
        <v>0</v>
      </c>
      <c r="G10" s="21">
        <f t="shared" si="3"/>
        <v>-1</v>
      </c>
      <c r="H10" s="21">
        <f t="shared" si="3"/>
        <v>0</v>
      </c>
      <c r="I10" s="21">
        <f t="shared" si="3"/>
        <v>1</v>
      </c>
      <c r="J10" s="21">
        <f t="shared" si="3"/>
        <v>0</v>
      </c>
      <c r="K10" s="35" t="s">
        <v>389</v>
      </c>
      <c r="L10" s="20"/>
      <c r="M10" s="20"/>
      <c r="N10" s="20"/>
      <c r="O10" s="21">
        <f t="shared" ref="O10:T10" si="4">sum(O11:O16)</f>
        <v>0</v>
      </c>
      <c r="P10" s="21">
        <f t="shared" si="4"/>
        <v>0</v>
      </c>
      <c r="Q10" s="21">
        <f t="shared" si="4"/>
        <v>1</v>
      </c>
      <c r="R10" s="21">
        <f t="shared" si="4"/>
        <v>0</v>
      </c>
      <c r="S10" s="21">
        <f t="shared" si="4"/>
        <v>-1</v>
      </c>
      <c r="T10" s="21">
        <f t="shared" si="4"/>
        <v>0</v>
      </c>
      <c r="U10" s="35" t="s">
        <v>390</v>
      </c>
      <c r="V10" s="20"/>
      <c r="W10" s="20"/>
      <c r="X10" s="20"/>
      <c r="Y10" s="21">
        <f t="shared" ref="Y10:AD10" si="5">sum(Y11:Y16)</f>
        <v>0</v>
      </c>
      <c r="Z10" s="21">
        <f t="shared" si="5"/>
        <v>0</v>
      </c>
      <c r="AA10" s="21">
        <f t="shared" si="5"/>
        <v>0</v>
      </c>
      <c r="AB10" s="21">
        <f t="shared" si="5"/>
        <v>0</v>
      </c>
      <c r="AC10" s="21">
        <f t="shared" si="5"/>
        <v>0</v>
      </c>
      <c r="AD10" s="21">
        <f t="shared" si="5"/>
        <v>0</v>
      </c>
      <c r="AE10" s="35" t="s">
        <v>391</v>
      </c>
    </row>
    <row r="11">
      <c r="A11" s="1" t="s">
        <v>2</v>
      </c>
      <c r="B11" s="20">
        <v>1.0</v>
      </c>
      <c r="C11" s="20">
        <v>0.0</v>
      </c>
      <c r="D11" s="20">
        <v>0.0</v>
      </c>
      <c r="E11" s="36"/>
      <c r="F11" s="24"/>
      <c r="G11" s="25"/>
      <c r="H11" s="25"/>
      <c r="I11" s="25"/>
      <c r="J11" s="26"/>
      <c r="K11" s="20"/>
      <c r="L11" s="20">
        <v>1.0</v>
      </c>
      <c r="M11" s="20">
        <v>0.0</v>
      </c>
      <c r="N11" s="20">
        <v>0.0</v>
      </c>
      <c r="O11" s="36"/>
      <c r="P11" s="24"/>
      <c r="Q11" s="25"/>
      <c r="R11" s="25"/>
      <c r="S11" s="25"/>
      <c r="T11" s="37">
        <v>-1.0</v>
      </c>
      <c r="U11" s="20"/>
      <c r="V11" s="20">
        <v>2.0</v>
      </c>
      <c r="W11" s="20">
        <v>0.0</v>
      </c>
      <c r="X11" s="20">
        <v>0.0</v>
      </c>
      <c r="Y11" s="36"/>
      <c r="Z11" s="24"/>
      <c r="AA11" s="25"/>
      <c r="AB11" s="25"/>
      <c r="AC11" s="25"/>
      <c r="AD11" s="37"/>
      <c r="AE11" s="20"/>
    </row>
    <row r="12">
      <c r="A12" s="1" t="s">
        <v>3</v>
      </c>
      <c r="B12" s="20">
        <v>2.0</v>
      </c>
      <c r="C12" s="20">
        <v>0.0</v>
      </c>
      <c r="D12" s="20">
        <v>0.0</v>
      </c>
      <c r="E12" s="27"/>
      <c r="F12" s="28"/>
      <c r="G12" s="22"/>
      <c r="H12" s="22"/>
      <c r="I12" s="20">
        <v>1.0</v>
      </c>
      <c r="J12" s="29"/>
      <c r="K12" s="20"/>
      <c r="L12" s="20">
        <v>1.0</v>
      </c>
      <c r="M12" s="20">
        <v>0.0</v>
      </c>
      <c r="N12" s="20">
        <v>0.0</v>
      </c>
      <c r="O12" s="27"/>
      <c r="P12" s="28"/>
      <c r="Q12" s="22"/>
      <c r="R12" s="22"/>
      <c r="S12" s="22"/>
      <c r="T12" s="29"/>
      <c r="U12" s="20"/>
      <c r="V12" s="20">
        <v>1.0</v>
      </c>
      <c r="W12" s="20">
        <v>0.0</v>
      </c>
      <c r="X12" s="20">
        <v>0.0</v>
      </c>
      <c r="Y12" s="27"/>
      <c r="Z12" s="28"/>
      <c r="AA12" s="22"/>
      <c r="AB12" s="22"/>
      <c r="AC12" s="22"/>
      <c r="AD12" s="29"/>
      <c r="AE12" s="20"/>
    </row>
    <row r="13">
      <c r="A13" s="1" t="s">
        <v>4</v>
      </c>
      <c r="B13" s="20">
        <v>1.0</v>
      </c>
      <c r="C13" s="20">
        <v>0.0</v>
      </c>
      <c r="D13" s="20">
        <v>0.0</v>
      </c>
      <c r="E13" s="30"/>
      <c r="F13" s="20"/>
      <c r="G13" s="28"/>
      <c r="H13" s="22"/>
      <c r="I13" s="22"/>
      <c r="J13" s="29"/>
      <c r="K13" s="20"/>
      <c r="L13" s="20">
        <v>1.0</v>
      </c>
      <c r="M13" s="20">
        <v>0.0</v>
      </c>
      <c r="N13" s="20">
        <v>0.0</v>
      </c>
      <c r="O13" s="30"/>
      <c r="P13" s="20"/>
      <c r="Q13" s="28"/>
      <c r="R13" s="22"/>
      <c r="S13" s="22"/>
      <c r="T13" s="29"/>
      <c r="U13" s="20"/>
      <c r="V13" s="20">
        <v>2.0</v>
      </c>
      <c r="W13" s="20">
        <v>0.0</v>
      </c>
      <c r="X13" s="20">
        <v>0.0</v>
      </c>
      <c r="Y13" s="30"/>
      <c r="Z13" s="20"/>
      <c r="AA13" s="28"/>
      <c r="AB13" s="22"/>
      <c r="AC13" s="22"/>
      <c r="AD13" s="29"/>
      <c r="AE13" s="20"/>
    </row>
    <row r="14">
      <c r="A14" s="1" t="s">
        <v>5</v>
      </c>
      <c r="B14" s="20">
        <v>1.0</v>
      </c>
      <c r="C14" s="20">
        <v>0.0</v>
      </c>
      <c r="D14" s="20">
        <v>0.0</v>
      </c>
      <c r="E14" s="27">
        <v>-1.0</v>
      </c>
      <c r="F14" s="22"/>
      <c r="G14" s="22"/>
      <c r="H14" s="28"/>
      <c r="I14" s="20"/>
      <c r="J14" s="29"/>
      <c r="K14" s="20"/>
      <c r="L14" s="20">
        <v>2.0</v>
      </c>
      <c r="M14" s="20">
        <v>0.0</v>
      </c>
      <c r="N14" s="20">
        <v>0.0</v>
      </c>
      <c r="O14" s="30"/>
      <c r="P14" s="22"/>
      <c r="Q14" s="22"/>
      <c r="R14" s="28"/>
      <c r="S14" s="20"/>
      <c r="T14" s="31">
        <v>1.0</v>
      </c>
      <c r="U14" s="20"/>
      <c r="V14" s="20">
        <v>1.0</v>
      </c>
      <c r="W14" s="20">
        <v>0.0</v>
      </c>
      <c r="X14" s="20">
        <v>0.0</v>
      </c>
      <c r="Y14" s="30"/>
      <c r="Z14" s="22"/>
      <c r="AA14" s="22"/>
      <c r="AB14" s="28"/>
      <c r="AC14" s="20"/>
      <c r="AD14" s="31"/>
      <c r="AE14" s="20"/>
    </row>
    <row r="15">
      <c r="A15" s="1" t="s">
        <v>6</v>
      </c>
      <c r="B15" s="20">
        <v>2.0</v>
      </c>
      <c r="C15" s="20">
        <v>0.0</v>
      </c>
      <c r="D15" s="20">
        <v>0.0</v>
      </c>
      <c r="E15" s="27">
        <v>1.0</v>
      </c>
      <c r="F15" s="22"/>
      <c r="G15" s="20">
        <v>-1.0</v>
      </c>
      <c r="H15" s="20"/>
      <c r="I15" s="28"/>
      <c r="J15" s="29"/>
      <c r="K15" s="20"/>
      <c r="L15" s="20">
        <v>1.0</v>
      </c>
      <c r="M15" s="20">
        <v>0.0</v>
      </c>
      <c r="N15" s="20">
        <v>0.0</v>
      </c>
      <c r="O15" s="30"/>
      <c r="P15" s="22"/>
      <c r="Q15" s="22"/>
      <c r="R15" s="20"/>
      <c r="S15" s="28"/>
      <c r="T15" s="29"/>
      <c r="U15" s="20"/>
      <c r="V15" s="20">
        <v>1.0</v>
      </c>
      <c r="W15" s="20">
        <v>0.0</v>
      </c>
      <c r="X15" s="20">
        <v>0.0</v>
      </c>
      <c r="Y15" s="30"/>
      <c r="Z15" s="22"/>
      <c r="AA15" s="22"/>
      <c r="AB15" s="20"/>
      <c r="AC15" s="28"/>
      <c r="AD15" s="29"/>
      <c r="AE15" s="20"/>
    </row>
    <row r="16">
      <c r="A16" s="1" t="s">
        <v>7</v>
      </c>
      <c r="B16" s="20">
        <v>1.0</v>
      </c>
      <c r="C16" s="20">
        <v>0.0</v>
      </c>
      <c r="D16" s="20">
        <v>0.0</v>
      </c>
      <c r="E16" s="32"/>
      <c r="F16" s="33"/>
      <c r="G16" s="33"/>
      <c r="H16" s="33"/>
      <c r="I16" s="33"/>
      <c r="J16" s="34"/>
      <c r="K16" s="20"/>
      <c r="L16" s="20">
        <v>2.0</v>
      </c>
      <c r="M16" s="20">
        <v>0.0</v>
      </c>
      <c r="N16" s="20">
        <v>0.0</v>
      </c>
      <c r="O16" s="32"/>
      <c r="P16" s="33"/>
      <c r="Q16" s="21">
        <v>1.0</v>
      </c>
      <c r="R16" s="33"/>
      <c r="S16" s="21">
        <v>-1.0</v>
      </c>
      <c r="T16" s="34"/>
      <c r="U16" s="20"/>
      <c r="V16" s="20">
        <v>1.0</v>
      </c>
      <c r="W16" s="20">
        <v>0.0</v>
      </c>
      <c r="X16" s="20">
        <v>0.0</v>
      </c>
      <c r="Y16" s="32"/>
      <c r="Z16" s="33"/>
      <c r="AA16" s="21"/>
      <c r="AB16" s="33"/>
      <c r="AC16" s="21"/>
      <c r="AD16" s="34"/>
      <c r="AE16" s="20"/>
    </row>
    <row r="17">
      <c r="B17" s="20"/>
      <c r="C17" s="20"/>
      <c r="D17" s="20"/>
      <c r="E17" s="22"/>
      <c r="F17" s="22"/>
      <c r="G17" s="22"/>
      <c r="H17" s="22"/>
      <c r="I17" s="22"/>
      <c r="J17" s="22"/>
      <c r="K17" s="20"/>
      <c r="L17" s="20"/>
      <c r="M17" s="20"/>
      <c r="N17" s="20"/>
      <c r="O17" s="22"/>
      <c r="P17" s="22"/>
      <c r="Q17" s="22"/>
      <c r="R17" s="22"/>
      <c r="S17" s="22"/>
      <c r="T17" s="22"/>
      <c r="U17" s="20"/>
      <c r="V17" s="20"/>
      <c r="W17" s="20"/>
      <c r="X17" s="20"/>
      <c r="Y17" s="22"/>
      <c r="Z17" s="22"/>
      <c r="AA17" s="22"/>
      <c r="AB17" s="22"/>
      <c r="AC17" s="22"/>
      <c r="AD17" s="22"/>
      <c r="AE17" s="22"/>
    </row>
    <row r="18">
      <c r="A18" s="17" t="s">
        <v>392</v>
      </c>
      <c r="B18" s="20"/>
      <c r="C18" s="20"/>
      <c r="D18" s="20"/>
      <c r="E18" s="22"/>
      <c r="F18" s="22"/>
      <c r="G18" s="22"/>
      <c r="H18" s="22"/>
      <c r="I18" s="22"/>
      <c r="J18" s="22"/>
      <c r="K18" s="20"/>
      <c r="L18" s="20"/>
      <c r="M18" s="20"/>
      <c r="N18" s="20"/>
      <c r="O18" s="22"/>
      <c r="P18" s="22"/>
      <c r="Q18" s="22"/>
      <c r="R18" s="22"/>
      <c r="S18" s="22"/>
      <c r="T18" s="22"/>
      <c r="U18" s="20"/>
      <c r="V18" s="20"/>
      <c r="W18" s="20"/>
      <c r="X18" s="20"/>
      <c r="Y18" s="21">
        <f t="shared" ref="Y18:AD18" si="6">sum(Y19:Y24)</f>
        <v>-1</v>
      </c>
      <c r="Z18" s="21">
        <f t="shared" si="6"/>
        <v>1</v>
      </c>
      <c r="AA18" s="21">
        <f t="shared" si="6"/>
        <v>1</v>
      </c>
      <c r="AB18" s="21">
        <f t="shared" si="6"/>
        <v>0</v>
      </c>
      <c r="AC18" s="21">
        <f t="shared" si="6"/>
        <v>0</v>
      </c>
      <c r="AD18" s="21">
        <f t="shared" si="6"/>
        <v>-1</v>
      </c>
      <c r="AE18" s="22"/>
    </row>
    <row r="19">
      <c r="A19" s="1" t="s">
        <v>2</v>
      </c>
      <c r="B19" s="20"/>
      <c r="C19" s="20"/>
      <c r="D19" s="20"/>
      <c r="E19" s="20"/>
      <c r="F19" s="20"/>
      <c r="G19" s="22"/>
      <c r="H19" s="22"/>
      <c r="I19" s="22"/>
      <c r="J19" s="22"/>
      <c r="K19" s="20"/>
      <c r="L19" s="20"/>
      <c r="M19" s="20"/>
      <c r="N19" s="20"/>
      <c r="O19" s="20"/>
      <c r="P19" s="20"/>
      <c r="Q19" s="22"/>
      <c r="R19" s="22"/>
      <c r="S19" s="22"/>
      <c r="T19" s="22"/>
      <c r="U19" s="20"/>
      <c r="V19" s="20">
        <v>2.0</v>
      </c>
      <c r="W19" s="20">
        <v>0.0</v>
      </c>
      <c r="X19" s="20">
        <v>0.0</v>
      </c>
      <c r="Y19" s="36"/>
      <c r="Z19" s="24"/>
      <c r="AA19" s="25"/>
      <c r="AB19" s="25"/>
      <c r="AC19" s="25"/>
      <c r="AD19" s="26"/>
      <c r="AE19" s="22"/>
    </row>
    <row r="20">
      <c r="A20" s="1" t="s">
        <v>3</v>
      </c>
      <c r="B20" s="20"/>
      <c r="C20" s="20"/>
      <c r="D20" s="20"/>
      <c r="E20" s="20"/>
      <c r="F20" s="20"/>
      <c r="G20" s="22"/>
      <c r="H20" s="22"/>
      <c r="I20" s="22"/>
      <c r="J20" s="22"/>
      <c r="K20" s="20"/>
      <c r="L20" s="20"/>
      <c r="M20" s="20"/>
      <c r="N20" s="20"/>
      <c r="O20" s="20"/>
      <c r="P20" s="20"/>
      <c r="Q20" s="22"/>
      <c r="R20" s="22"/>
      <c r="S20" s="22"/>
      <c r="T20" s="22"/>
      <c r="U20" s="20"/>
      <c r="V20" s="20">
        <v>2.0</v>
      </c>
      <c r="X20" s="20">
        <v>0.0</v>
      </c>
      <c r="Y20" s="27"/>
      <c r="Z20" s="28"/>
      <c r="AA20" s="22"/>
      <c r="AB20" s="22"/>
      <c r="AC20" s="22"/>
      <c r="AD20" s="29"/>
      <c r="AE20" s="22"/>
    </row>
    <row r="21">
      <c r="A21" s="1" t="s">
        <v>4</v>
      </c>
      <c r="B21" s="20"/>
      <c r="C21" s="20"/>
      <c r="D21" s="20"/>
      <c r="E21" s="22"/>
      <c r="F21" s="20"/>
      <c r="G21" s="20"/>
      <c r="H21" s="22"/>
      <c r="I21" s="22"/>
      <c r="J21" s="22"/>
      <c r="K21" s="20"/>
      <c r="L21" s="20"/>
      <c r="M21" s="20"/>
      <c r="N21" s="20"/>
      <c r="O21" s="22"/>
      <c r="P21" s="20"/>
      <c r="Q21" s="20"/>
      <c r="R21" s="22"/>
      <c r="S21" s="22"/>
      <c r="T21" s="22"/>
      <c r="U21" s="20"/>
      <c r="V21" s="20">
        <v>2.0</v>
      </c>
      <c r="W21" s="20">
        <v>0.0</v>
      </c>
      <c r="X21" s="20">
        <v>0.0</v>
      </c>
      <c r="Y21" s="30"/>
      <c r="Z21" s="20"/>
      <c r="AA21" s="28"/>
      <c r="AB21" s="22"/>
      <c r="AC21" s="22"/>
      <c r="AD21" s="29"/>
      <c r="AE21" s="22"/>
    </row>
    <row r="22">
      <c r="A22" s="1" t="s">
        <v>5</v>
      </c>
      <c r="B22" s="20"/>
      <c r="C22" s="20"/>
      <c r="D22" s="20"/>
      <c r="E22" s="22"/>
      <c r="F22" s="22"/>
      <c r="G22" s="22"/>
      <c r="H22" s="20"/>
      <c r="I22" s="20"/>
      <c r="J22" s="22"/>
      <c r="K22" s="20"/>
      <c r="L22" s="20"/>
      <c r="M22" s="20"/>
      <c r="N22" s="20"/>
      <c r="O22" s="22"/>
      <c r="P22" s="22"/>
      <c r="Q22" s="22"/>
      <c r="R22" s="20"/>
      <c r="S22" s="20"/>
      <c r="T22" s="22"/>
      <c r="U22" s="20"/>
      <c r="V22" s="20">
        <v>2.0</v>
      </c>
      <c r="W22" s="20">
        <v>0.0</v>
      </c>
      <c r="X22" s="20">
        <v>0.0</v>
      </c>
      <c r="Y22" s="30"/>
      <c r="Z22" s="22"/>
      <c r="AA22" s="22"/>
      <c r="AB22" s="28"/>
      <c r="AC22" s="20"/>
      <c r="AD22" s="29"/>
      <c r="AE22" s="22"/>
    </row>
    <row r="23">
      <c r="A23" s="1" t="s">
        <v>6</v>
      </c>
      <c r="B23" s="20"/>
      <c r="C23" s="20"/>
      <c r="D23" s="20"/>
      <c r="E23" s="22"/>
      <c r="F23" s="22"/>
      <c r="G23" s="22"/>
      <c r="H23" s="20"/>
      <c r="I23" s="20"/>
      <c r="J23" s="22"/>
      <c r="K23" s="20"/>
      <c r="L23" s="20"/>
      <c r="M23" s="20"/>
      <c r="N23" s="20"/>
      <c r="O23" s="22"/>
      <c r="P23" s="22"/>
      <c r="Q23" s="22"/>
      <c r="R23" s="20"/>
      <c r="S23" s="20"/>
      <c r="T23" s="22"/>
      <c r="U23" s="20"/>
      <c r="V23" s="20">
        <v>1.0</v>
      </c>
      <c r="W23" s="20">
        <v>0.0</v>
      </c>
      <c r="X23" s="20">
        <v>0.0</v>
      </c>
      <c r="Y23" s="30"/>
      <c r="Z23" s="22"/>
      <c r="AA23" s="20">
        <v>1.0</v>
      </c>
      <c r="AB23" s="20"/>
      <c r="AC23" s="28"/>
      <c r="AD23" s="31">
        <v>-1.0</v>
      </c>
      <c r="AE23" s="22"/>
    </row>
    <row r="24">
      <c r="A24" s="1" t="s">
        <v>7</v>
      </c>
      <c r="B24" s="20"/>
      <c r="C24" s="20"/>
      <c r="D24" s="20"/>
      <c r="E24" s="22"/>
      <c r="F24" s="22"/>
      <c r="G24" s="22"/>
      <c r="H24" s="22"/>
      <c r="I24" s="22"/>
      <c r="J24" s="20"/>
      <c r="K24" s="20"/>
      <c r="L24" s="20"/>
      <c r="M24" s="20"/>
      <c r="N24" s="20"/>
      <c r="O24" s="22"/>
      <c r="P24" s="22"/>
      <c r="Q24" s="22"/>
      <c r="R24" s="22"/>
      <c r="S24" s="22"/>
      <c r="T24" s="20"/>
      <c r="U24" s="20"/>
      <c r="V24" s="20">
        <v>2.0</v>
      </c>
      <c r="W24" s="20">
        <v>0.0</v>
      </c>
      <c r="X24" s="20">
        <v>0.0</v>
      </c>
      <c r="Y24" s="38">
        <v>-1.0</v>
      </c>
      <c r="Z24" s="21">
        <v>1.0</v>
      </c>
      <c r="AA24" s="33"/>
      <c r="AB24" s="33"/>
      <c r="AC24" s="33"/>
      <c r="AD24" s="34"/>
      <c r="AE24" s="20"/>
    </row>
    <row r="25">
      <c r="B25" s="20"/>
      <c r="C25" s="20"/>
      <c r="D25" s="20"/>
      <c r="E25" s="20"/>
      <c r="F25" s="20"/>
      <c r="G25" s="22"/>
      <c r="H25" s="22"/>
      <c r="I25" s="20"/>
      <c r="J25" s="22"/>
      <c r="K25" s="20"/>
      <c r="L25" s="20"/>
      <c r="M25" s="20"/>
      <c r="N25" s="20"/>
      <c r="O25" s="20"/>
      <c r="P25" s="20"/>
      <c r="Q25" s="22"/>
      <c r="R25" s="22"/>
      <c r="S25" s="20"/>
      <c r="T25" s="22"/>
      <c r="U25" s="20"/>
      <c r="V25" s="20"/>
      <c r="W25" s="20"/>
      <c r="X25" s="20"/>
      <c r="Y25" s="20"/>
      <c r="Z25" s="20"/>
      <c r="AA25" s="22"/>
      <c r="AB25" s="22"/>
      <c r="AC25" s="20"/>
      <c r="AD25" s="22"/>
      <c r="AE25" s="22"/>
    </row>
  </sheetData>
  <conditionalFormatting sqref="D2:J24 O2:T24 Y2:AD24">
    <cfRule type="cellIs" dxfId="0" priority="1" operator="greaterThan">
      <formula>0</formula>
    </cfRule>
  </conditionalFormatting>
  <conditionalFormatting sqref="D2:J24 O2:T24 Y2:AD24">
    <cfRule type="cellIs" dxfId="6" priority="2" operator="lessThan">
      <formula>0</formula>
    </cfRule>
  </conditionalFormatting>
  <conditionalFormatting sqref="B3:B24 L3:L24 V3:V24">
    <cfRule type="cellIs" dxfId="7" priority="3" operator="equal">
      <formula>2</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63"/>
    <col customWidth="1" min="2" max="8" width="2.75"/>
  </cols>
  <sheetData>
    <row r="1" ht="76.5" customHeight="1">
      <c r="A1" s="18" t="s">
        <v>393</v>
      </c>
      <c r="B1" s="2" t="s">
        <v>394</v>
      </c>
      <c r="C1" s="2" t="s">
        <v>395</v>
      </c>
      <c r="D1" s="2" t="s">
        <v>396</v>
      </c>
      <c r="E1" s="2" t="s">
        <v>397</v>
      </c>
      <c r="F1" s="2" t="s">
        <v>296</v>
      </c>
      <c r="G1" s="2" t="s">
        <v>398</v>
      </c>
      <c r="H1" s="18"/>
    </row>
    <row r="2">
      <c r="A2" s="1" t="s">
        <v>2</v>
      </c>
      <c r="B2" s="36">
        <v>3.0</v>
      </c>
      <c r="C2" s="24"/>
      <c r="D2" s="24"/>
      <c r="E2" s="24">
        <v>1.0</v>
      </c>
      <c r="F2" s="24">
        <v>-1.0</v>
      </c>
      <c r="G2" s="37">
        <v>1.0</v>
      </c>
      <c r="H2" s="20">
        <f t="shared" ref="H2:H7" si="1">sum(B2:G2)</f>
        <v>4</v>
      </c>
    </row>
    <row r="3">
      <c r="A3" s="1" t="s">
        <v>3</v>
      </c>
      <c r="B3" s="27">
        <v>1.0</v>
      </c>
      <c r="C3" s="28">
        <v>3.0</v>
      </c>
      <c r="D3" s="20">
        <v>-1.0</v>
      </c>
      <c r="E3" s="20"/>
      <c r="F3" s="20">
        <v>1.0</v>
      </c>
      <c r="G3" s="29"/>
      <c r="H3" s="20">
        <f t="shared" si="1"/>
        <v>4</v>
      </c>
    </row>
    <row r="4">
      <c r="A4" s="1" t="s">
        <v>4</v>
      </c>
      <c r="B4" s="30"/>
      <c r="C4" s="20">
        <v>-1.0</v>
      </c>
      <c r="D4" s="28">
        <v>3.0</v>
      </c>
      <c r="E4" s="20">
        <v>1.0</v>
      </c>
      <c r="F4" s="20">
        <v>1.0</v>
      </c>
      <c r="G4" s="29"/>
      <c r="H4" s="20">
        <f t="shared" si="1"/>
        <v>4</v>
      </c>
    </row>
    <row r="5">
      <c r="A5" s="1" t="s">
        <v>5</v>
      </c>
      <c r="B5" s="27">
        <v>1.0</v>
      </c>
      <c r="C5" s="22"/>
      <c r="D5" s="20">
        <v>1.0</v>
      </c>
      <c r="E5" s="28">
        <v>3.0</v>
      </c>
      <c r="F5" s="20"/>
      <c r="G5" s="31">
        <v>-1.0</v>
      </c>
      <c r="H5" s="20">
        <f t="shared" si="1"/>
        <v>4</v>
      </c>
    </row>
    <row r="6">
      <c r="A6" s="1" t="s">
        <v>6</v>
      </c>
      <c r="B6" s="27">
        <v>-1.0</v>
      </c>
      <c r="C6" s="20">
        <v>1.0</v>
      </c>
      <c r="D6" s="20"/>
      <c r="E6" s="20"/>
      <c r="F6" s="28">
        <v>3.0</v>
      </c>
      <c r="G6" s="31">
        <v>1.0</v>
      </c>
      <c r="H6" s="20">
        <f t="shared" si="1"/>
        <v>4</v>
      </c>
    </row>
    <row r="7">
      <c r="A7" s="1" t="s">
        <v>7</v>
      </c>
      <c r="B7" s="38"/>
      <c r="C7" s="21">
        <v>1.0</v>
      </c>
      <c r="D7" s="21">
        <v>1.0</v>
      </c>
      <c r="E7" s="21">
        <v>-1.0</v>
      </c>
      <c r="F7" s="21"/>
      <c r="G7" s="34">
        <v>3.0</v>
      </c>
      <c r="H7" s="20">
        <f t="shared" si="1"/>
        <v>4</v>
      </c>
    </row>
    <row r="8">
      <c r="B8" s="22">
        <f t="shared" ref="B8:G8" si="2">sum(B2:B7)</f>
        <v>4</v>
      </c>
      <c r="C8" s="22">
        <f t="shared" si="2"/>
        <v>4</v>
      </c>
      <c r="D8" s="22">
        <f t="shared" si="2"/>
        <v>4</v>
      </c>
      <c r="E8" s="22">
        <f t="shared" si="2"/>
        <v>4</v>
      </c>
      <c r="F8" s="22">
        <f t="shared" si="2"/>
        <v>4</v>
      </c>
      <c r="G8" s="22">
        <f t="shared" si="2"/>
        <v>4</v>
      </c>
      <c r="H8" s="20"/>
    </row>
  </sheetData>
  <conditionalFormatting sqref="B2:H8">
    <cfRule type="cellIs" dxfId="0" priority="1" operator="greaterThan">
      <formula>0</formula>
    </cfRule>
  </conditionalFormatting>
  <conditionalFormatting sqref="B2:H8">
    <cfRule type="cellIs" dxfId="6" priority="2" operator="lessThan">
      <formula>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9" width="4.13"/>
    <col customWidth="1" min="11" max="14" width="3.38"/>
    <col customWidth="1" min="16" max="18" width="3.5"/>
  </cols>
  <sheetData>
    <row r="1">
      <c r="A1" s="1" t="s">
        <v>399</v>
      </c>
      <c r="B1" s="1" t="s">
        <v>400</v>
      </c>
      <c r="C1" s="2" t="s">
        <v>394</v>
      </c>
      <c r="D1" s="2" t="s">
        <v>397</v>
      </c>
      <c r="E1" s="2" t="s">
        <v>395</v>
      </c>
      <c r="F1" s="2" t="s">
        <v>296</v>
      </c>
      <c r="G1" s="2" t="s">
        <v>396</v>
      </c>
      <c r="H1" s="2" t="s">
        <v>398</v>
      </c>
      <c r="I1" s="2" t="s">
        <v>401</v>
      </c>
      <c r="J1" s="1" t="s">
        <v>402</v>
      </c>
      <c r="K1" s="3" t="s">
        <v>403</v>
      </c>
      <c r="L1" s="3" t="s">
        <v>404</v>
      </c>
      <c r="M1" s="3" t="s">
        <v>405</v>
      </c>
      <c r="N1" s="3" t="s">
        <v>406</v>
      </c>
      <c r="O1" s="1" t="s">
        <v>407</v>
      </c>
      <c r="P1" s="3" t="s">
        <v>403</v>
      </c>
      <c r="Q1" s="3" t="s">
        <v>404</v>
      </c>
      <c r="R1" s="3" t="s">
        <v>405</v>
      </c>
    </row>
    <row r="2">
      <c r="A2" s="39" t="s">
        <v>394</v>
      </c>
      <c r="B2" s="1" t="s">
        <v>408</v>
      </c>
      <c r="C2" s="40" t="s">
        <v>409</v>
      </c>
      <c r="D2" s="1" t="s">
        <v>409</v>
      </c>
      <c r="E2" s="1" t="s">
        <v>410</v>
      </c>
      <c r="F2" s="1" t="s">
        <v>410</v>
      </c>
      <c r="G2" s="1" t="s">
        <v>411</v>
      </c>
      <c r="H2" s="1" t="s">
        <v>412</v>
      </c>
      <c r="I2" s="1" t="s">
        <v>413</v>
      </c>
      <c r="K2" s="1">
        <f t="shared" ref="K2:K8" si="2">sum(C19:I19)</f>
        <v>2</v>
      </c>
      <c r="L2" s="1">
        <f t="shared" ref="L2:L8" si="3">K2 + sum(C27:I27)</f>
        <v>6</v>
      </c>
      <c r="M2" s="1">
        <f t="shared" ref="M2:M8" si="4">L2 + sum(C35:I35)</f>
        <v>10</v>
      </c>
      <c r="N2" s="1">
        <f t="shared" ref="N2:N8" si="5">M2 + sum(C43:I43)</f>
        <v>11</v>
      </c>
      <c r="P2">
        <f t="shared" ref="P2:R2" si="1">K2/2</f>
        <v>1</v>
      </c>
      <c r="Q2">
        <f t="shared" si="1"/>
        <v>3</v>
      </c>
      <c r="R2">
        <f t="shared" si="1"/>
        <v>5</v>
      </c>
    </row>
    <row r="3">
      <c r="A3" s="39" t="s">
        <v>397</v>
      </c>
      <c r="B3" s="1" t="s">
        <v>408</v>
      </c>
      <c r="C3" s="1" t="s">
        <v>409</v>
      </c>
      <c r="D3" s="40" t="s">
        <v>409</v>
      </c>
      <c r="E3" s="1" t="s">
        <v>410</v>
      </c>
      <c r="F3" s="1" t="s">
        <v>414</v>
      </c>
      <c r="G3" s="1" t="s">
        <v>410</v>
      </c>
      <c r="H3" s="1" t="s">
        <v>415</v>
      </c>
      <c r="I3" s="1" t="s">
        <v>416</v>
      </c>
      <c r="K3" s="1">
        <f t="shared" si="2"/>
        <v>2</v>
      </c>
      <c r="L3" s="1">
        <f t="shared" si="3"/>
        <v>6</v>
      </c>
      <c r="M3" s="1">
        <f t="shared" si="4"/>
        <v>12</v>
      </c>
      <c r="N3" s="1">
        <f t="shared" si="5"/>
        <v>15</v>
      </c>
      <c r="P3">
        <f t="shared" ref="P3:R3" si="6">K3/2</f>
        <v>1</v>
      </c>
      <c r="Q3">
        <f t="shared" si="6"/>
        <v>3</v>
      </c>
      <c r="R3">
        <f t="shared" si="6"/>
        <v>6</v>
      </c>
    </row>
    <row r="4">
      <c r="A4" s="39" t="s">
        <v>395</v>
      </c>
      <c r="B4" s="1" t="s">
        <v>408</v>
      </c>
      <c r="C4" s="1" t="s">
        <v>409</v>
      </c>
      <c r="D4" s="1" t="s">
        <v>409</v>
      </c>
      <c r="E4" s="40" t="s">
        <v>417</v>
      </c>
      <c r="F4" s="1" t="s">
        <v>412</v>
      </c>
      <c r="G4" s="1" t="s">
        <v>411</v>
      </c>
      <c r="H4" s="1" t="s">
        <v>418</v>
      </c>
      <c r="I4" s="1" t="s">
        <v>419</v>
      </c>
      <c r="K4" s="1">
        <f t="shared" si="2"/>
        <v>4</v>
      </c>
      <c r="L4" s="1">
        <f t="shared" si="3"/>
        <v>8</v>
      </c>
      <c r="M4" s="1">
        <f t="shared" si="4"/>
        <v>12</v>
      </c>
      <c r="N4" s="1">
        <f t="shared" si="5"/>
        <v>17</v>
      </c>
      <c r="P4">
        <f t="shared" ref="P4:R4" si="7">K4/2</f>
        <v>2</v>
      </c>
      <c r="Q4">
        <f t="shared" si="7"/>
        <v>4</v>
      </c>
      <c r="R4">
        <f t="shared" si="7"/>
        <v>6</v>
      </c>
    </row>
    <row r="5">
      <c r="A5" s="39" t="s">
        <v>296</v>
      </c>
      <c r="B5" s="1" t="s">
        <v>420</v>
      </c>
      <c r="C5" s="1" t="s">
        <v>417</v>
      </c>
      <c r="D5" s="1" t="s">
        <v>421</v>
      </c>
      <c r="E5" s="1" t="s">
        <v>409</v>
      </c>
      <c r="F5" s="40" t="s">
        <v>422</v>
      </c>
      <c r="G5" s="1" t="s">
        <v>423</v>
      </c>
      <c r="H5" s="1" t="s">
        <v>415</v>
      </c>
      <c r="I5" s="1" t="s">
        <v>424</v>
      </c>
      <c r="K5" s="1">
        <f t="shared" si="2"/>
        <v>6</v>
      </c>
      <c r="L5" s="1">
        <f t="shared" si="3"/>
        <v>10</v>
      </c>
      <c r="M5" s="1">
        <f t="shared" si="4"/>
        <v>12</v>
      </c>
      <c r="N5" s="1">
        <f t="shared" si="5"/>
        <v>19</v>
      </c>
      <c r="P5">
        <f t="shared" ref="P5:R5" si="8">K5/2</f>
        <v>3</v>
      </c>
      <c r="Q5">
        <f t="shared" si="8"/>
        <v>5</v>
      </c>
      <c r="R5">
        <f t="shared" si="8"/>
        <v>6</v>
      </c>
    </row>
    <row r="6">
      <c r="A6" s="39" t="s">
        <v>396</v>
      </c>
      <c r="B6" s="1" t="s">
        <v>420</v>
      </c>
      <c r="C6" s="1" t="s">
        <v>415</v>
      </c>
      <c r="D6" s="1" t="s">
        <v>409</v>
      </c>
      <c r="E6" s="1" t="s">
        <v>409</v>
      </c>
      <c r="F6" s="1" t="s">
        <v>422</v>
      </c>
      <c r="G6" s="40" t="s">
        <v>425</v>
      </c>
      <c r="H6" s="1" t="s">
        <v>410</v>
      </c>
      <c r="I6" s="1" t="s">
        <v>426</v>
      </c>
      <c r="K6" s="1">
        <f t="shared" si="2"/>
        <v>10</v>
      </c>
      <c r="L6" s="1">
        <f t="shared" si="3"/>
        <v>12</v>
      </c>
      <c r="M6" s="1">
        <f t="shared" si="4"/>
        <v>14</v>
      </c>
      <c r="N6" s="1">
        <f t="shared" si="5"/>
        <v>25</v>
      </c>
      <c r="P6">
        <f t="shared" ref="P6:R6" si="9">K6/2</f>
        <v>5</v>
      </c>
      <c r="Q6">
        <f t="shared" si="9"/>
        <v>6</v>
      </c>
      <c r="R6">
        <f t="shared" si="9"/>
        <v>7</v>
      </c>
    </row>
    <row r="7">
      <c r="A7" s="39" t="s">
        <v>398</v>
      </c>
      <c r="B7" s="1" t="s">
        <v>420</v>
      </c>
      <c r="C7" s="1" t="s">
        <v>415</v>
      </c>
      <c r="D7" s="1" t="s">
        <v>415</v>
      </c>
      <c r="E7" s="1" t="s">
        <v>419</v>
      </c>
      <c r="F7" s="1" t="s">
        <v>427</v>
      </c>
      <c r="G7" s="1" t="s">
        <v>428</v>
      </c>
      <c r="H7" s="40" t="s">
        <v>429</v>
      </c>
      <c r="I7" s="1" t="s">
        <v>427</v>
      </c>
      <c r="K7" s="1">
        <f t="shared" si="2"/>
        <v>16</v>
      </c>
      <c r="L7" s="1">
        <f t="shared" si="3"/>
        <v>24</v>
      </c>
      <c r="M7" s="1">
        <f t="shared" si="4"/>
        <v>28</v>
      </c>
      <c r="N7" s="1">
        <f t="shared" si="5"/>
        <v>33</v>
      </c>
      <c r="P7">
        <f t="shared" ref="P7:R7" si="10">K7/2</f>
        <v>8</v>
      </c>
      <c r="Q7">
        <f t="shared" si="10"/>
        <v>12</v>
      </c>
      <c r="R7">
        <f t="shared" si="10"/>
        <v>14</v>
      </c>
    </row>
    <row r="8">
      <c r="A8" s="39" t="s">
        <v>401</v>
      </c>
      <c r="B8" s="1" t="s">
        <v>430</v>
      </c>
      <c r="C8" s="1" t="s">
        <v>427</v>
      </c>
      <c r="D8" s="1" t="s">
        <v>431</v>
      </c>
      <c r="E8" s="1" t="s">
        <v>432</v>
      </c>
      <c r="F8" s="1" t="s">
        <v>433</v>
      </c>
      <c r="G8" s="1" t="s">
        <v>434</v>
      </c>
      <c r="H8" s="1" t="s">
        <v>435</v>
      </c>
      <c r="I8" s="40" t="s">
        <v>436</v>
      </c>
      <c r="K8" s="1">
        <f t="shared" si="2"/>
        <v>26</v>
      </c>
      <c r="L8" s="1">
        <f t="shared" si="3"/>
        <v>44</v>
      </c>
      <c r="M8" s="1">
        <f t="shared" si="4"/>
        <v>62</v>
      </c>
      <c r="N8" s="1">
        <f t="shared" si="5"/>
        <v>85</v>
      </c>
      <c r="P8">
        <f t="shared" ref="P8:R8" si="11">K8/2</f>
        <v>13</v>
      </c>
      <c r="Q8">
        <f t="shared" si="11"/>
        <v>22</v>
      </c>
      <c r="R8">
        <f t="shared" si="11"/>
        <v>31</v>
      </c>
    </row>
    <row r="10">
      <c r="A10" s="1" t="s">
        <v>437</v>
      </c>
      <c r="C10">
        <f t="shared" ref="C10:I10" si="12">sum(C11:C17)</f>
        <v>13</v>
      </c>
      <c r="D10">
        <f t="shared" si="12"/>
        <v>17</v>
      </c>
      <c r="E10">
        <f t="shared" si="12"/>
        <v>23</v>
      </c>
      <c r="F10">
        <f t="shared" si="12"/>
        <v>26</v>
      </c>
      <c r="G10">
        <f t="shared" si="12"/>
        <v>40</v>
      </c>
      <c r="H10">
        <f t="shared" si="12"/>
        <v>42</v>
      </c>
      <c r="I10">
        <f t="shared" si="12"/>
        <v>44</v>
      </c>
    </row>
    <row r="11">
      <c r="C11">
        <f t="shared" ref="C11:I11" si="13">int(RIGHT(C2,len(C2)-1))</f>
        <v>1</v>
      </c>
      <c r="D11">
        <f t="shared" si="13"/>
        <v>1</v>
      </c>
      <c r="E11">
        <f t="shared" si="13"/>
        <v>2</v>
      </c>
      <c r="F11">
        <f t="shared" si="13"/>
        <v>2</v>
      </c>
      <c r="G11">
        <f t="shared" si="13"/>
        <v>3</v>
      </c>
      <c r="H11">
        <f t="shared" si="13"/>
        <v>1</v>
      </c>
      <c r="I11">
        <f t="shared" si="13"/>
        <v>1</v>
      </c>
    </row>
    <row r="12">
      <c r="C12">
        <f t="shared" ref="C12:I12" si="14">int(RIGHT(C3,len(C3)-1))</f>
        <v>1</v>
      </c>
      <c r="D12">
        <f t="shared" si="14"/>
        <v>1</v>
      </c>
      <c r="E12">
        <f t="shared" si="14"/>
        <v>2</v>
      </c>
      <c r="F12">
        <f t="shared" si="14"/>
        <v>4</v>
      </c>
      <c r="G12">
        <f t="shared" si="14"/>
        <v>2</v>
      </c>
      <c r="H12">
        <f t="shared" si="14"/>
        <v>2</v>
      </c>
      <c r="I12">
        <f t="shared" si="14"/>
        <v>3</v>
      </c>
    </row>
    <row r="13">
      <c r="C13">
        <f t="shared" ref="C13:I13" si="15">int(RIGHT(C4,len(C4)-1))</f>
        <v>1</v>
      </c>
      <c r="D13">
        <f t="shared" si="15"/>
        <v>1</v>
      </c>
      <c r="E13">
        <f t="shared" si="15"/>
        <v>2</v>
      </c>
      <c r="F13">
        <f t="shared" si="15"/>
        <v>1</v>
      </c>
      <c r="G13">
        <f t="shared" si="15"/>
        <v>3</v>
      </c>
      <c r="H13">
        <f t="shared" si="15"/>
        <v>4</v>
      </c>
      <c r="I13">
        <f t="shared" si="15"/>
        <v>5</v>
      </c>
    </row>
    <row r="14">
      <c r="C14">
        <f t="shared" ref="C14:I14" si="16">int(RIGHT(C5,len(C5)-1))</f>
        <v>2</v>
      </c>
      <c r="D14">
        <f t="shared" si="16"/>
        <v>3</v>
      </c>
      <c r="E14">
        <f t="shared" si="16"/>
        <v>1</v>
      </c>
      <c r="F14">
        <f t="shared" si="16"/>
        <v>3</v>
      </c>
      <c r="G14">
        <f t="shared" si="16"/>
        <v>1</v>
      </c>
      <c r="H14">
        <f t="shared" si="16"/>
        <v>2</v>
      </c>
      <c r="I14">
        <f t="shared" si="16"/>
        <v>7</v>
      </c>
    </row>
    <row r="15">
      <c r="C15">
        <f t="shared" ref="C15:I15" si="17">int(RIGHT(C6,len(C6)-1))</f>
        <v>2</v>
      </c>
      <c r="D15">
        <f t="shared" si="17"/>
        <v>1</v>
      </c>
      <c r="E15">
        <f t="shared" si="17"/>
        <v>1</v>
      </c>
      <c r="F15">
        <f t="shared" si="17"/>
        <v>3</v>
      </c>
      <c r="G15">
        <f t="shared" si="17"/>
        <v>5</v>
      </c>
      <c r="H15">
        <f t="shared" si="17"/>
        <v>2</v>
      </c>
      <c r="I15">
        <f t="shared" si="17"/>
        <v>11</v>
      </c>
    </row>
    <row r="16">
      <c r="C16">
        <f t="shared" ref="C16:I16" si="18">int(RIGHT(C7,len(C7)-1))</f>
        <v>2</v>
      </c>
      <c r="D16">
        <f t="shared" si="18"/>
        <v>2</v>
      </c>
      <c r="E16">
        <f t="shared" si="18"/>
        <v>5</v>
      </c>
      <c r="F16">
        <f t="shared" si="18"/>
        <v>4</v>
      </c>
      <c r="G16">
        <f t="shared" si="18"/>
        <v>8</v>
      </c>
      <c r="H16">
        <f t="shared" si="18"/>
        <v>8</v>
      </c>
      <c r="I16">
        <f t="shared" si="18"/>
        <v>4</v>
      </c>
    </row>
    <row r="17">
      <c r="C17">
        <f t="shared" ref="C17:I17" si="19">int(RIGHT(C8,len(C8)-1))</f>
        <v>4</v>
      </c>
      <c r="D17">
        <f t="shared" si="19"/>
        <v>8</v>
      </c>
      <c r="E17">
        <f t="shared" si="19"/>
        <v>10</v>
      </c>
      <c r="F17">
        <f t="shared" si="19"/>
        <v>9</v>
      </c>
      <c r="G17">
        <f t="shared" si="19"/>
        <v>18</v>
      </c>
      <c r="H17">
        <f t="shared" si="19"/>
        <v>23</v>
      </c>
      <c r="I17">
        <f t="shared" si="19"/>
        <v>13</v>
      </c>
    </row>
    <row r="19">
      <c r="B19" s="1" t="s">
        <v>403</v>
      </c>
      <c r="C19">
        <f t="shared" ref="C19:I19" si="20">if(exact(left(C2,1),$B$19),int(right(C2,len(C2)-1)),0)</f>
        <v>1</v>
      </c>
      <c r="D19">
        <f t="shared" si="20"/>
        <v>1</v>
      </c>
      <c r="E19">
        <f t="shared" si="20"/>
        <v>0</v>
      </c>
      <c r="F19">
        <f t="shared" si="20"/>
        <v>0</v>
      </c>
      <c r="G19">
        <f t="shared" si="20"/>
        <v>0</v>
      </c>
      <c r="H19">
        <f t="shared" si="20"/>
        <v>0</v>
      </c>
      <c r="I19">
        <f t="shared" si="20"/>
        <v>0</v>
      </c>
    </row>
    <row r="20">
      <c r="C20">
        <f t="shared" ref="C20:I20" si="21">if(exact(left(C3,1),$B$19),int(right(C3,len(C3)-1)),0)</f>
        <v>1</v>
      </c>
      <c r="D20">
        <f t="shared" si="21"/>
        <v>1</v>
      </c>
      <c r="E20">
        <f t="shared" si="21"/>
        <v>0</v>
      </c>
      <c r="F20">
        <f t="shared" si="21"/>
        <v>0</v>
      </c>
      <c r="G20">
        <f t="shared" si="21"/>
        <v>0</v>
      </c>
      <c r="H20">
        <f t="shared" si="21"/>
        <v>0</v>
      </c>
      <c r="I20">
        <f t="shared" si="21"/>
        <v>0</v>
      </c>
    </row>
    <row r="21">
      <c r="C21">
        <f t="shared" ref="C21:I21" si="22">if(exact(left(C4,1),$B$19),int(right(C4,len(C4)-1)),0)</f>
        <v>1</v>
      </c>
      <c r="D21">
        <f t="shared" si="22"/>
        <v>1</v>
      </c>
      <c r="E21">
        <f t="shared" si="22"/>
        <v>2</v>
      </c>
      <c r="F21">
        <f t="shared" si="22"/>
        <v>0</v>
      </c>
      <c r="G21">
        <f t="shared" si="22"/>
        <v>0</v>
      </c>
      <c r="H21">
        <f t="shared" si="22"/>
        <v>0</v>
      </c>
      <c r="I21">
        <f t="shared" si="22"/>
        <v>0</v>
      </c>
    </row>
    <row r="22">
      <c r="C22">
        <f t="shared" ref="C22:I22" si="23">if(exact(left(C5,1),$B$19),int(right(C5,len(C5)-1)),0)</f>
        <v>2</v>
      </c>
      <c r="D22">
        <f t="shared" si="23"/>
        <v>0</v>
      </c>
      <c r="E22">
        <f t="shared" si="23"/>
        <v>1</v>
      </c>
      <c r="F22">
        <f t="shared" si="23"/>
        <v>3</v>
      </c>
      <c r="G22">
        <f t="shared" si="23"/>
        <v>0</v>
      </c>
      <c r="H22">
        <f t="shared" si="23"/>
        <v>0</v>
      </c>
      <c r="I22">
        <f t="shared" si="23"/>
        <v>0</v>
      </c>
    </row>
    <row r="23">
      <c r="C23">
        <f t="shared" ref="C23:I23" si="24">if(exact(left(C6,1),$B$19),int(right(C6,len(C6)-1)),0)</f>
        <v>0</v>
      </c>
      <c r="D23">
        <f t="shared" si="24"/>
        <v>1</v>
      </c>
      <c r="E23">
        <f t="shared" si="24"/>
        <v>1</v>
      </c>
      <c r="F23">
        <f t="shared" si="24"/>
        <v>3</v>
      </c>
      <c r="G23">
        <f t="shared" si="24"/>
        <v>5</v>
      </c>
      <c r="H23">
        <f t="shared" si="24"/>
        <v>0</v>
      </c>
      <c r="I23">
        <f t="shared" si="24"/>
        <v>0</v>
      </c>
    </row>
    <row r="24">
      <c r="C24">
        <f t="shared" ref="C24:I24" si="25">if(exact(left(C7,1),$B$19),int(right(C7,len(C7)-1)),0)</f>
        <v>0</v>
      </c>
      <c r="D24">
        <f t="shared" si="25"/>
        <v>0</v>
      </c>
      <c r="E24">
        <f t="shared" si="25"/>
        <v>0</v>
      </c>
      <c r="F24">
        <f t="shared" si="25"/>
        <v>4</v>
      </c>
      <c r="G24">
        <f t="shared" si="25"/>
        <v>0</v>
      </c>
      <c r="H24">
        <f t="shared" si="25"/>
        <v>8</v>
      </c>
      <c r="I24">
        <f t="shared" si="25"/>
        <v>4</v>
      </c>
    </row>
    <row r="25">
      <c r="C25">
        <f t="shared" ref="C25:I25" si="26">if(exact(left(C8,1),$B$19),int(right(C8,len(C8)-1)),0)</f>
        <v>4</v>
      </c>
      <c r="D25">
        <f t="shared" si="26"/>
        <v>0</v>
      </c>
      <c r="E25">
        <f t="shared" si="26"/>
        <v>0</v>
      </c>
      <c r="F25">
        <f t="shared" si="26"/>
        <v>9</v>
      </c>
      <c r="G25">
        <f t="shared" si="26"/>
        <v>0</v>
      </c>
      <c r="H25">
        <f t="shared" si="26"/>
        <v>0</v>
      </c>
      <c r="I25">
        <f t="shared" si="26"/>
        <v>13</v>
      </c>
    </row>
    <row r="27">
      <c r="B27" s="1" t="s">
        <v>404</v>
      </c>
      <c r="C27">
        <f t="shared" ref="C27:I27" si="27">if(exact(left(C2,1),$B$27),int(right(C2,len(C2)-1)),0)</f>
        <v>0</v>
      </c>
      <c r="D27">
        <f t="shared" si="27"/>
        <v>0</v>
      </c>
      <c r="E27">
        <f t="shared" si="27"/>
        <v>2</v>
      </c>
      <c r="F27">
        <f t="shared" si="27"/>
        <v>2</v>
      </c>
      <c r="G27">
        <f t="shared" si="27"/>
        <v>0</v>
      </c>
      <c r="H27">
        <f t="shared" si="27"/>
        <v>0</v>
      </c>
      <c r="I27">
        <f t="shared" si="27"/>
        <v>0</v>
      </c>
    </row>
    <row r="28">
      <c r="C28">
        <f t="shared" ref="C28:I28" si="28">if(exact(left(C3,1),$B$27),int(right(C3,len(C3)-1)),0)</f>
        <v>0</v>
      </c>
      <c r="D28">
        <f t="shared" si="28"/>
        <v>0</v>
      </c>
      <c r="E28">
        <f t="shared" si="28"/>
        <v>2</v>
      </c>
      <c r="F28">
        <f t="shared" si="28"/>
        <v>0</v>
      </c>
      <c r="G28">
        <f t="shared" si="28"/>
        <v>2</v>
      </c>
      <c r="H28">
        <f t="shared" si="28"/>
        <v>0</v>
      </c>
      <c r="I28">
        <f t="shared" si="28"/>
        <v>0</v>
      </c>
    </row>
    <row r="29">
      <c r="C29">
        <f t="shared" ref="C29:I29" si="29">if(exact(left(C4,1),$B$27),int(right(C4,len(C4)-1)),0)</f>
        <v>0</v>
      </c>
      <c r="D29">
        <f t="shared" si="29"/>
        <v>0</v>
      </c>
      <c r="E29">
        <f t="shared" si="29"/>
        <v>0</v>
      </c>
      <c r="F29">
        <f t="shared" si="29"/>
        <v>0</v>
      </c>
      <c r="G29">
        <f t="shared" si="29"/>
        <v>0</v>
      </c>
      <c r="H29">
        <f t="shared" si="29"/>
        <v>4</v>
      </c>
      <c r="I29">
        <f t="shared" si="29"/>
        <v>0</v>
      </c>
    </row>
    <row r="30">
      <c r="C30">
        <f t="shared" ref="C30:I30" si="30">if(exact(left(C5,1),$B$27),int(right(C5,len(C5)-1)),0)</f>
        <v>0</v>
      </c>
      <c r="D30">
        <f t="shared" si="30"/>
        <v>3</v>
      </c>
      <c r="E30">
        <f t="shared" si="30"/>
        <v>0</v>
      </c>
      <c r="F30">
        <f t="shared" si="30"/>
        <v>0</v>
      </c>
      <c r="G30">
        <f t="shared" si="30"/>
        <v>1</v>
      </c>
      <c r="H30">
        <f t="shared" si="30"/>
        <v>0</v>
      </c>
      <c r="I30">
        <f t="shared" si="30"/>
        <v>0</v>
      </c>
    </row>
    <row r="31">
      <c r="C31">
        <f t="shared" ref="C31:I31" si="31">if(exact(left(C6,1),$B$27),int(right(C6,len(C6)-1)),0)</f>
        <v>0</v>
      </c>
      <c r="D31">
        <f t="shared" si="31"/>
        <v>0</v>
      </c>
      <c r="E31">
        <f t="shared" si="31"/>
        <v>0</v>
      </c>
      <c r="F31">
        <f t="shared" si="31"/>
        <v>0</v>
      </c>
      <c r="G31">
        <f t="shared" si="31"/>
        <v>0</v>
      </c>
      <c r="H31">
        <f t="shared" si="31"/>
        <v>2</v>
      </c>
      <c r="I31">
        <f t="shared" si="31"/>
        <v>0</v>
      </c>
    </row>
    <row r="32">
      <c r="C32">
        <f t="shared" ref="C32:I32" si="32">if(exact(left(C7,1),$B$27),int(right(C7,len(C7)-1)),0)</f>
        <v>0</v>
      </c>
      <c r="D32">
        <f t="shared" si="32"/>
        <v>0</v>
      </c>
      <c r="E32">
        <f t="shared" si="32"/>
        <v>0</v>
      </c>
      <c r="F32">
        <f t="shared" si="32"/>
        <v>0</v>
      </c>
      <c r="G32">
        <f t="shared" si="32"/>
        <v>8</v>
      </c>
      <c r="H32">
        <f t="shared" si="32"/>
        <v>0</v>
      </c>
      <c r="I32">
        <f t="shared" si="32"/>
        <v>0</v>
      </c>
    </row>
    <row r="33">
      <c r="C33">
        <f t="shared" ref="C33:I33" si="33">if(exact(left(C8,1),$B$27),int(right(C8,len(C8)-1)),0)</f>
        <v>0</v>
      </c>
      <c r="D33">
        <f t="shared" si="33"/>
        <v>0</v>
      </c>
      <c r="E33">
        <f t="shared" si="33"/>
        <v>0</v>
      </c>
      <c r="F33">
        <f t="shared" si="33"/>
        <v>0</v>
      </c>
      <c r="G33">
        <f t="shared" si="33"/>
        <v>18</v>
      </c>
      <c r="H33">
        <f t="shared" si="33"/>
        <v>0</v>
      </c>
      <c r="I33">
        <f t="shared" si="33"/>
        <v>0</v>
      </c>
    </row>
    <row r="35">
      <c r="B35" s="1" t="s">
        <v>405</v>
      </c>
      <c r="C35">
        <f t="shared" ref="C35:I35" si="34">if(exact(left(C2,1),$B$35),int(right(C2,len(C2)-1)),0)</f>
        <v>0</v>
      </c>
      <c r="D35">
        <f t="shared" si="34"/>
        <v>0</v>
      </c>
      <c r="E35">
        <f t="shared" si="34"/>
        <v>0</v>
      </c>
      <c r="F35">
        <f t="shared" si="34"/>
        <v>0</v>
      </c>
      <c r="G35">
        <f t="shared" si="34"/>
        <v>3</v>
      </c>
      <c r="H35">
        <f t="shared" si="34"/>
        <v>1</v>
      </c>
      <c r="I35">
        <f t="shared" si="34"/>
        <v>0</v>
      </c>
    </row>
    <row r="36">
      <c r="C36">
        <f t="shared" ref="C36:I36" si="35">if(exact(left(C3,1),$B$35),int(right(C3,len(C3)-1)),0)</f>
        <v>0</v>
      </c>
      <c r="D36">
        <f t="shared" si="35"/>
        <v>0</v>
      </c>
      <c r="E36">
        <f t="shared" si="35"/>
        <v>0</v>
      </c>
      <c r="F36">
        <f t="shared" si="35"/>
        <v>4</v>
      </c>
      <c r="G36">
        <f t="shared" si="35"/>
        <v>0</v>
      </c>
      <c r="H36">
        <f t="shared" si="35"/>
        <v>2</v>
      </c>
      <c r="I36">
        <f t="shared" si="35"/>
        <v>0</v>
      </c>
    </row>
    <row r="37">
      <c r="C37">
        <f t="shared" ref="C37:I37" si="36">if(exact(left(C4,1),$B$35),int(right(C4,len(C4)-1)),0)</f>
        <v>0</v>
      </c>
      <c r="D37">
        <f t="shared" si="36"/>
        <v>0</v>
      </c>
      <c r="E37">
        <f t="shared" si="36"/>
        <v>0</v>
      </c>
      <c r="F37">
        <f t="shared" si="36"/>
        <v>1</v>
      </c>
      <c r="G37">
        <f t="shared" si="36"/>
        <v>3</v>
      </c>
      <c r="H37">
        <f t="shared" si="36"/>
        <v>0</v>
      </c>
      <c r="I37">
        <f t="shared" si="36"/>
        <v>0</v>
      </c>
    </row>
    <row r="38">
      <c r="C38">
        <f t="shared" ref="C38:I38" si="37">if(exact(left(C5,1),$B$35),int(right(C5,len(C5)-1)),0)</f>
        <v>0</v>
      </c>
      <c r="D38">
        <f t="shared" si="37"/>
        <v>0</v>
      </c>
      <c r="E38">
        <f t="shared" si="37"/>
        <v>0</v>
      </c>
      <c r="F38">
        <f t="shared" si="37"/>
        <v>0</v>
      </c>
      <c r="G38">
        <f t="shared" si="37"/>
        <v>0</v>
      </c>
      <c r="H38">
        <f t="shared" si="37"/>
        <v>2</v>
      </c>
      <c r="I38">
        <f t="shared" si="37"/>
        <v>0</v>
      </c>
    </row>
    <row r="39">
      <c r="C39">
        <f t="shared" ref="C39:I39" si="38">if(exact(left(C6,1),$B$35),int(right(C6,len(C6)-1)),0)</f>
        <v>2</v>
      </c>
      <c r="D39">
        <f t="shared" si="38"/>
        <v>0</v>
      </c>
      <c r="E39">
        <f t="shared" si="38"/>
        <v>0</v>
      </c>
      <c r="F39">
        <f t="shared" si="38"/>
        <v>0</v>
      </c>
      <c r="G39">
        <f t="shared" si="38"/>
        <v>0</v>
      </c>
      <c r="H39">
        <f t="shared" si="38"/>
        <v>0</v>
      </c>
      <c r="I39">
        <f t="shared" si="38"/>
        <v>0</v>
      </c>
    </row>
    <row r="40">
      <c r="C40">
        <f t="shared" ref="C40:I40" si="39">if(exact(left(C7,1),$B$35),int(right(C7,len(C7)-1)),0)</f>
        <v>2</v>
      </c>
      <c r="D40">
        <f t="shared" si="39"/>
        <v>2</v>
      </c>
      <c r="E40">
        <f t="shared" si="39"/>
        <v>0</v>
      </c>
      <c r="F40">
        <f t="shared" si="39"/>
        <v>0</v>
      </c>
      <c r="G40">
        <f t="shared" si="39"/>
        <v>0</v>
      </c>
      <c r="H40">
        <f t="shared" si="39"/>
        <v>0</v>
      </c>
      <c r="I40">
        <f t="shared" si="39"/>
        <v>0</v>
      </c>
    </row>
    <row r="41">
      <c r="C41">
        <f t="shared" ref="C41:I41" si="40">if(exact(left(C8,1),$B$35),int(right(C8,len(C8)-1)),0)</f>
        <v>0</v>
      </c>
      <c r="D41">
        <f t="shared" si="40"/>
        <v>8</v>
      </c>
      <c r="E41">
        <f t="shared" si="40"/>
        <v>10</v>
      </c>
      <c r="F41">
        <f t="shared" si="40"/>
        <v>0</v>
      </c>
      <c r="G41">
        <f t="shared" si="40"/>
        <v>0</v>
      </c>
      <c r="H41">
        <f t="shared" si="40"/>
        <v>0</v>
      </c>
      <c r="I41">
        <f t="shared" si="40"/>
        <v>0</v>
      </c>
    </row>
    <row r="43">
      <c r="B43" s="1" t="s">
        <v>406</v>
      </c>
      <c r="C43">
        <f t="shared" ref="C43:I43" si="41">if(exact(left(C2,1),$B$43),int(right(C2,len(C2)-1)),0)</f>
        <v>0</v>
      </c>
      <c r="D43">
        <f t="shared" si="41"/>
        <v>0</v>
      </c>
      <c r="E43">
        <f t="shared" si="41"/>
        <v>0</v>
      </c>
      <c r="F43">
        <f t="shared" si="41"/>
        <v>0</v>
      </c>
      <c r="G43">
        <f t="shared" si="41"/>
        <v>0</v>
      </c>
      <c r="H43">
        <f t="shared" si="41"/>
        <v>0</v>
      </c>
      <c r="I43">
        <f t="shared" si="41"/>
        <v>1</v>
      </c>
    </row>
    <row r="44">
      <c r="C44">
        <f t="shared" ref="C44:I44" si="42">if(exact(left(C3,1),$B$43),int(right(C3,len(C3)-1)),0)</f>
        <v>0</v>
      </c>
      <c r="D44">
        <f t="shared" si="42"/>
        <v>0</v>
      </c>
      <c r="E44">
        <f t="shared" si="42"/>
        <v>0</v>
      </c>
      <c r="F44">
        <f t="shared" si="42"/>
        <v>0</v>
      </c>
      <c r="G44">
        <f t="shared" si="42"/>
        <v>0</v>
      </c>
      <c r="H44">
        <f t="shared" si="42"/>
        <v>0</v>
      </c>
      <c r="I44">
        <f t="shared" si="42"/>
        <v>3</v>
      </c>
    </row>
    <row r="45">
      <c r="C45">
        <f t="shared" ref="C45:I45" si="43">if(exact(left(C4,1),$B$43),int(right(C4,len(C4)-1)),0)</f>
        <v>0</v>
      </c>
      <c r="D45">
        <f t="shared" si="43"/>
        <v>0</v>
      </c>
      <c r="E45">
        <f t="shared" si="43"/>
        <v>0</v>
      </c>
      <c r="F45">
        <f t="shared" si="43"/>
        <v>0</v>
      </c>
      <c r="G45">
        <f t="shared" si="43"/>
        <v>0</v>
      </c>
      <c r="H45">
        <f t="shared" si="43"/>
        <v>0</v>
      </c>
      <c r="I45">
        <f t="shared" si="43"/>
        <v>5</v>
      </c>
    </row>
    <row r="46">
      <c r="C46">
        <f t="shared" ref="C46:I46" si="44">if(exact(left(C5,1),$B$43),int(right(C5,len(C5)-1)),0)</f>
        <v>0</v>
      </c>
      <c r="D46">
        <f t="shared" si="44"/>
        <v>0</v>
      </c>
      <c r="E46">
        <f t="shared" si="44"/>
        <v>0</v>
      </c>
      <c r="F46">
        <f t="shared" si="44"/>
        <v>0</v>
      </c>
      <c r="G46">
        <f t="shared" si="44"/>
        <v>0</v>
      </c>
      <c r="H46">
        <f t="shared" si="44"/>
        <v>0</v>
      </c>
      <c r="I46">
        <f t="shared" si="44"/>
        <v>7</v>
      </c>
    </row>
    <row r="47">
      <c r="C47">
        <f t="shared" ref="C47:I47" si="45">if(exact(left(C6,1),$B$43),int(right(C6,len(C6)-1)),0)</f>
        <v>0</v>
      </c>
      <c r="D47">
        <f t="shared" si="45"/>
        <v>0</v>
      </c>
      <c r="E47">
        <f t="shared" si="45"/>
        <v>0</v>
      </c>
      <c r="F47">
        <f t="shared" si="45"/>
        <v>0</v>
      </c>
      <c r="G47">
        <f t="shared" si="45"/>
        <v>0</v>
      </c>
      <c r="H47">
        <f t="shared" si="45"/>
        <v>0</v>
      </c>
      <c r="I47">
        <f t="shared" si="45"/>
        <v>11</v>
      </c>
    </row>
    <row r="48">
      <c r="C48">
        <f t="shared" ref="C48:I48" si="46">if(exact(left(C7,1),$B$43),int(right(C7,len(C7)-1)),0)</f>
        <v>0</v>
      </c>
      <c r="D48">
        <f t="shared" si="46"/>
        <v>0</v>
      </c>
      <c r="E48">
        <f t="shared" si="46"/>
        <v>5</v>
      </c>
      <c r="F48">
        <f t="shared" si="46"/>
        <v>0</v>
      </c>
      <c r="G48">
        <f t="shared" si="46"/>
        <v>0</v>
      </c>
      <c r="H48">
        <f t="shared" si="46"/>
        <v>0</v>
      </c>
      <c r="I48">
        <f t="shared" si="46"/>
        <v>0</v>
      </c>
    </row>
    <row r="49">
      <c r="C49">
        <f t="shared" ref="C49:I49" si="47">if(exact(left(C8,1),$B$43),int(right(C8,len(C8)-1)),0)</f>
        <v>0</v>
      </c>
      <c r="D49">
        <f t="shared" si="47"/>
        <v>0</v>
      </c>
      <c r="E49">
        <f t="shared" si="47"/>
        <v>0</v>
      </c>
      <c r="F49">
        <f t="shared" si="47"/>
        <v>0</v>
      </c>
      <c r="G49">
        <f t="shared" si="47"/>
        <v>0</v>
      </c>
      <c r="H49">
        <f t="shared" si="47"/>
        <v>23</v>
      </c>
      <c r="I49">
        <f t="shared" si="47"/>
        <v>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4.75"/>
    <col customWidth="1" min="2" max="2" width="13.0"/>
    <col customWidth="1" min="3" max="3" width="17.25"/>
    <col customWidth="1" min="4" max="4" width="25.25"/>
    <col customWidth="1" min="5" max="7" width="14.0"/>
    <col customWidth="1" min="8" max="8" width="12.75"/>
    <col customWidth="1" min="9" max="9" width="12.88"/>
    <col customWidth="1" min="10" max="10" width="14.0"/>
    <col customWidth="1" min="11" max="11" width="13.13"/>
  </cols>
  <sheetData>
    <row r="1">
      <c r="A1" s="1" t="s">
        <v>438</v>
      </c>
      <c r="B1" s="1" t="s">
        <v>439</v>
      </c>
      <c r="C1" s="1" t="s">
        <v>440</v>
      </c>
      <c r="D1" s="1" t="s">
        <v>441</v>
      </c>
      <c r="E1" s="41" t="s">
        <v>74</v>
      </c>
      <c r="F1" s="41" t="s">
        <v>442</v>
      </c>
      <c r="G1" s="1" t="s">
        <v>443</v>
      </c>
      <c r="H1" s="1" t="s">
        <v>444</v>
      </c>
      <c r="I1" s="1" t="s">
        <v>445</v>
      </c>
      <c r="J1" s="1" t="s">
        <v>446</v>
      </c>
      <c r="K1" s="1" t="s">
        <v>447</v>
      </c>
    </row>
    <row r="2">
      <c r="A2" s="1" t="s">
        <v>448</v>
      </c>
      <c r="B2" s="1"/>
      <c r="C2" s="1" t="s">
        <v>449</v>
      </c>
      <c r="D2" s="1" t="s">
        <v>450</v>
      </c>
      <c r="E2" s="1"/>
      <c r="F2" s="1"/>
      <c r="G2" s="1" t="s">
        <v>451</v>
      </c>
      <c r="H2" s="1" t="s">
        <v>452</v>
      </c>
      <c r="I2" s="1" t="s">
        <v>453</v>
      </c>
      <c r="J2" s="1" t="s">
        <v>454</v>
      </c>
    </row>
    <row r="3">
      <c r="A3" s="42" t="s">
        <v>41</v>
      </c>
      <c r="B3" s="43"/>
      <c r="C3" s="43" t="s">
        <v>455</v>
      </c>
      <c r="D3" s="43" t="s">
        <v>456</v>
      </c>
      <c r="E3" s="43" t="s">
        <v>457</v>
      </c>
      <c r="F3" s="43" t="s">
        <v>458</v>
      </c>
      <c r="G3" s="43" t="s">
        <v>459</v>
      </c>
      <c r="H3" s="43" t="s">
        <v>41</v>
      </c>
      <c r="I3" s="43" t="s">
        <v>303</v>
      </c>
      <c r="J3" s="43" t="s">
        <v>460</v>
      </c>
      <c r="K3" s="44"/>
      <c r="L3" s="44"/>
      <c r="M3" s="44"/>
      <c r="N3" s="44"/>
      <c r="O3" s="44"/>
      <c r="P3" s="44"/>
      <c r="Q3" s="44"/>
      <c r="R3" s="44"/>
      <c r="S3" s="44"/>
      <c r="T3" s="44"/>
      <c r="U3" s="44"/>
      <c r="V3" s="44"/>
      <c r="W3" s="44"/>
      <c r="X3" s="44"/>
      <c r="Y3" s="44"/>
      <c r="Z3" s="44"/>
      <c r="AA3" s="44"/>
      <c r="AB3" s="44"/>
      <c r="AC3" s="44"/>
      <c r="AD3" s="44"/>
    </row>
    <row r="4">
      <c r="A4" s="45" t="s">
        <v>47</v>
      </c>
      <c r="B4" s="46"/>
      <c r="C4" s="46" t="s">
        <v>461</v>
      </c>
      <c r="D4" s="46" t="s">
        <v>462</v>
      </c>
      <c r="E4" s="46" t="s">
        <v>463</v>
      </c>
      <c r="F4" s="46" t="s">
        <v>464</v>
      </c>
      <c r="G4" s="46" t="s">
        <v>465</v>
      </c>
      <c r="H4" s="46" t="s">
        <v>466</v>
      </c>
      <c r="I4" s="46" t="s">
        <v>467</v>
      </c>
      <c r="J4" s="46" t="s">
        <v>468</v>
      </c>
      <c r="K4" s="46" t="s">
        <v>469</v>
      </c>
      <c r="L4" s="47"/>
      <c r="M4" s="47"/>
      <c r="N4" s="47"/>
      <c r="O4" s="47"/>
      <c r="P4" s="47"/>
      <c r="Q4" s="47"/>
      <c r="R4" s="47"/>
      <c r="S4" s="47"/>
      <c r="T4" s="47"/>
      <c r="U4" s="47"/>
      <c r="V4" s="47"/>
      <c r="W4" s="47"/>
      <c r="X4" s="47"/>
      <c r="Y4" s="47"/>
      <c r="Z4" s="47"/>
      <c r="AA4" s="47"/>
      <c r="AB4" s="47"/>
      <c r="AC4" s="47"/>
      <c r="AD4" s="47"/>
    </row>
    <row r="6">
      <c r="A6" s="1" t="s">
        <v>470</v>
      </c>
      <c r="B6" s="1"/>
      <c r="C6" s="1" t="s">
        <v>471</v>
      </c>
      <c r="D6" s="1" t="s">
        <v>472</v>
      </c>
    </row>
    <row r="7">
      <c r="A7" s="42" t="s">
        <v>473</v>
      </c>
      <c r="B7" s="43"/>
      <c r="C7" s="43" t="s">
        <v>474</v>
      </c>
      <c r="D7" s="44"/>
      <c r="E7" s="43" t="s">
        <v>475</v>
      </c>
      <c r="F7" s="43" t="s">
        <v>476</v>
      </c>
      <c r="G7" s="43" t="s">
        <v>170</v>
      </c>
      <c r="H7" s="43" t="s">
        <v>171</v>
      </c>
      <c r="I7" s="43" t="s">
        <v>172</v>
      </c>
      <c r="J7" s="43" t="s">
        <v>173</v>
      </c>
      <c r="K7" s="44"/>
      <c r="L7" s="44"/>
      <c r="M7" s="44"/>
      <c r="N7" s="44"/>
      <c r="O7" s="44"/>
      <c r="P7" s="44"/>
      <c r="Q7" s="44"/>
      <c r="R7" s="44"/>
      <c r="S7" s="44"/>
      <c r="T7" s="44"/>
      <c r="U7" s="44"/>
      <c r="V7" s="44"/>
      <c r="W7" s="44"/>
      <c r="X7" s="44"/>
      <c r="Y7" s="44"/>
      <c r="Z7" s="44"/>
      <c r="AA7" s="44"/>
      <c r="AB7" s="44"/>
      <c r="AC7" s="44"/>
      <c r="AD7" s="44"/>
    </row>
    <row r="8">
      <c r="A8" s="17" t="s">
        <v>45</v>
      </c>
      <c r="B8" s="1"/>
      <c r="C8" s="1" t="s">
        <v>477</v>
      </c>
      <c r="E8" s="1" t="s">
        <v>478</v>
      </c>
      <c r="F8" s="1" t="s">
        <v>479</v>
      </c>
      <c r="G8" s="1" t="s">
        <v>221</v>
      </c>
      <c r="H8" s="1" t="s">
        <v>222</v>
      </c>
      <c r="I8" s="1" t="s">
        <v>480</v>
      </c>
      <c r="J8" s="1" t="s">
        <v>224</v>
      </c>
      <c r="K8" s="1" t="s">
        <v>97</v>
      </c>
    </row>
    <row r="9">
      <c r="A9" s="17" t="s">
        <v>308</v>
      </c>
      <c r="B9" s="1"/>
      <c r="C9" s="1" t="s">
        <v>481</v>
      </c>
      <c r="E9" s="1" t="s">
        <v>482</v>
      </c>
      <c r="F9" s="1" t="s">
        <v>483</v>
      </c>
      <c r="G9" s="1" t="s">
        <v>303</v>
      </c>
      <c r="H9" s="1" t="s">
        <v>484</v>
      </c>
      <c r="I9" s="1" t="s">
        <v>485</v>
      </c>
      <c r="J9" s="1" t="s">
        <v>486</v>
      </c>
      <c r="K9" s="1" t="s">
        <v>487</v>
      </c>
    </row>
    <row r="10">
      <c r="A10" s="17" t="s">
        <v>7</v>
      </c>
      <c r="B10" s="1"/>
      <c r="C10" s="1" t="s">
        <v>114</v>
      </c>
      <c r="E10" s="1" t="s">
        <v>488</v>
      </c>
      <c r="F10" s="1" t="s">
        <v>489</v>
      </c>
      <c r="G10" s="1" t="s">
        <v>490</v>
      </c>
      <c r="H10" s="1" t="s">
        <v>109</v>
      </c>
      <c r="K10" s="1" t="s">
        <v>491</v>
      </c>
    </row>
    <row r="11">
      <c r="A11" s="45" t="s">
        <v>231</v>
      </c>
      <c r="B11" s="46"/>
      <c r="C11" s="46" t="s">
        <v>492</v>
      </c>
      <c r="D11" s="47"/>
      <c r="E11" s="46" t="s">
        <v>493</v>
      </c>
      <c r="F11" s="46" t="s">
        <v>494</v>
      </c>
      <c r="G11" s="46" t="s">
        <v>495</v>
      </c>
      <c r="H11" s="46" t="s">
        <v>496</v>
      </c>
      <c r="I11" s="46" t="s">
        <v>497</v>
      </c>
      <c r="J11" s="46" t="s">
        <v>498</v>
      </c>
      <c r="K11" s="46" t="s">
        <v>499</v>
      </c>
      <c r="L11" s="47"/>
      <c r="M11" s="47"/>
      <c r="N11" s="47"/>
      <c r="O11" s="47"/>
      <c r="P11" s="47"/>
      <c r="Q11" s="47"/>
      <c r="R11" s="47"/>
      <c r="S11" s="47"/>
      <c r="T11" s="47"/>
      <c r="U11" s="47"/>
      <c r="V11" s="47"/>
      <c r="W11" s="47"/>
      <c r="X11" s="47"/>
      <c r="Y11" s="47"/>
      <c r="Z11" s="47"/>
      <c r="AA11" s="47"/>
      <c r="AB11" s="47"/>
      <c r="AC11" s="47"/>
      <c r="AD11" s="47"/>
    </row>
    <row r="13">
      <c r="A13" s="1" t="s">
        <v>448</v>
      </c>
      <c r="B13" s="1"/>
      <c r="C13" s="1" t="s">
        <v>500</v>
      </c>
    </row>
    <row r="14">
      <c r="A14" s="42" t="s">
        <v>501</v>
      </c>
      <c r="B14" s="43" t="s">
        <v>502</v>
      </c>
      <c r="C14" s="43" t="s">
        <v>503</v>
      </c>
      <c r="D14" s="44"/>
      <c r="E14" s="43" t="s">
        <v>206</v>
      </c>
      <c r="F14" s="43" t="s">
        <v>504</v>
      </c>
      <c r="G14" s="43" t="s">
        <v>505</v>
      </c>
      <c r="H14" s="43" t="s">
        <v>324</v>
      </c>
      <c r="I14" s="43" t="s">
        <v>346</v>
      </c>
      <c r="J14" s="43" t="s">
        <v>506</v>
      </c>
      <c r="K14" s="44"/>
      <c r="L14" s="44"/>
      <c r="M14" s="44"/>
      <c r="N14" s="44"/>
      <c r="O14" s="44"/>
      <c r="P14" s="44"/>
      <c r="Q14" s="44"/>
      <c r="R14" s="44"/>
      <c r="S14" s="44"/>
      <c r="T14" s="44"/>
      <c r="U14" s="44"/>
      <c r="V14" s="44"/>
      <c r="W14" s="44"/>
      <c r="X14" s="44"/>
      <c r="Y14" s="44"/>
      <c r="Z14" s="44"/>
      <c r="AA14" s="44"/>
      <c r="AB14" s="44"/>
      <c r="AC14" s="44"/>
      <c r="AD14" s="44"/>
    </row>
    <row r="15">
      <c r="A15" s="45" t="s">
        <v>51</v>
      </c>
      <c r="B15" s="46"/>
      <c r="C15" s="46" t="s">
        <v>507</v>
      </c>
      <c r="D15" s="47"/>
      <c r="E15" s="46" t="s">
        <v>508</v>
      </c>
      <c r="F15" s="46" t="s">
        <v>509</v>
      </c>
      <c r="G15" s="46" t="s">
        <v>510</v>
      </c>
      <c r="H15" s="46" t="s">
        <v>505</v>
      </c>
      <c r="I15" s="46" t="s">
        <v>163</v>
      </c>
      <c r="J15" s="46" t="s">
        <v>164</v>
      </c>
      <c r="K15" s="46" t="s">
        <v>165</v>
      </c>
      <c r="L15" s="47"/>
      <c r="M15" s="47"/>
      <c r="N15" s="47"/>
      <c r="O15" s="47"/>
      <c r="P15" s="47"/>
      <c r="Q15" s="47"/>
      <c r="R15" s="47"/>
      <c r="S15" s="47"/>
      <c r="T15" s="47"/>
      <c r="U15" s="47"/>
      <c r="V15" s="47"/>
      <c r="W15" s="47"/>
      <c r="X15" s="47"/>
      <c r="Y15" s="47"/>
      <c r="Z15" s="47"/>
      <c r="AA15" s="47"/>
      <c r="AB15" s="47"/>
      <c r="AC15" s="47"/>
      <c r="AD15" s="47"/>
    </row>
    <row r="17">
      <c r="A17" s="48" t="s">
        <v>55</v>
      </c>
      <c r="B17" s="49"/>
      <c r="C17" s="50" t="s">
        <v>511</v>
      </c>
      <c r="D17" s="49"/>
      <c r="E17" s="50" t="s">
        <v>512</v>
      </c>
      <c r="F17" s="50" t="s">
        <v>513</v>
      </c>
      <c r="G17" s="49"/>
      <c r="H17" s="49"/>
      <c r="I17" s="49"/>
      <c r="J17" s="49"/>
      <c r="K17" s="49"/>
      <c r="L17" s="49"/>
      <c r="M17" s="49"/>
      <c r="N17" s="49"/>
      <c r="O17" s="49"/>
      <c r="P17" s="49"/>
      <c r="Q17" s="49"/>
      <c r="R17" s="49"/>
      <c r="S17" s="49"/>
      <c r="T17" s="49"/>
      <c r="U17" s="49"/>
      <c r="V17" s="49"/>
      <c r="W17" s="49"/>
      <c r="X17" s="49"/>
      <c r="Y17" s="49"/>
      <c r="Z17" s="49"/>
      <c r="AA17" s="49"/>
      <c r="AB17" s="49"/>
      <c r="AC17" s="49"/>
      <c r="AD17" s="49"/>
    </row>
    <row r="19">
      <c r="A19" s="1" t="s">
        <v>514</v>
      </c>
      <c r="E19" s="1" t="s">
        <v>515</v>
      </c>
      <c r="F19" s="1" t="s">
        <v>516</v>
      </c>
      <c r="G19" s="1" t="s">
        <v>517</v>
      </c>
      <c r="H19" s="1" t="s">
        <v>518</v>
      </c>
      <c r="I19" s="1" t="s">
        <v>519</v>
      </c>
      <c r="J19" s="1" t="s">
        <v>520</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35</v>
      </c>
      <c r="B1" s="1" t="s">
        <v>521</v>
      </c>
      <c r="C1" s="1" t="s">
        <v>522</v>
      </c>
      <c r="D1" s="1" t="s">
        <v>37</v>
      </c>
    </row>
    <row r="2">
      <c r="A2" s="1" t="s">
        <v>523</v>
      </c>
      <c r="B2" s="1"/>
      <c r="C2" s="51" t="s">
        <v>524</v>
      </c>
      <c r="D2" s="1" t="s">
        <v>525</v>
      </c>
    </row>
    <row r="3">
      <c r="A3" s="1" t="s">
        <v>526</v>
      </c>
      <c r="C3" s="51" t="s">
        <v>527</v>
      </c>
      <c r="D3" s="1" t="s">
        <v>528</v>
      </c>
    </row>
    <row r="4">
      <c r="A4" s="1" t="s">
        <v>529</v>
      </c>
      <c r="D4" s="1" t="s">
        <v>530</v>
      </c>
    </row>
  </sheetData>
  <hyperlinks>
    <hyperlink r:id="rId1" ref="C2"/>
    <hyperlink r:id="rId2" ref="C3"/>
  </hyperlinks>
  <drawing r:id="rId3"/>
</worksheet>
</file>